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1. Retroplanning" sheetId="2" state="visible" r:id="rId4"/>
    <sheet name="2. Temario y Repasos" sheetId="3" state="visible" r:id="rId5"/>
    <sheet name="3. Tracker de Tests" sheetId="4" state="visible" r:id="rId6"/>
  </sheets>
  <definedNames>
    <definedName function="false" hidden="false" localSheetId="1" name="_xlnm.Print_Area" vbProcedure="false">'1. Retroplanning'!$A$1:$F$57</definedName>
    <definedName function="false" hidden="false" localSheetId="1" name="_xlnm.Print_Titles" vbProcedure="false">'1. Retroplanning'!$1:$2</definedName>
    <definedName function="false" hidden="false" localSheetId="2" name="_xlnm.Print_Area" vbProcedure="false">'2. Temario y Repasos'!$A$1:$J$47</definedName>
    <definedName function="false" hidden="false" localSheetId="2" name="_xlnm.Print_Titles" vbProcedure="false">'2. Temario y Repasos'!$1:$2</definedName>
    <definedName function="false" hidden="false" localSheetId="3" name="_xlnm.Print_Area" vbProcedure="false">'3. Tracker de Tests'!$A$1:$O$46</definedName>
    <definedName function="false" hidden="false" localSheetId="3" name="_xlnm.Print_Titles" vbProcedure="false">'3. Tracker de Tests'!$1:$2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<sst xmlns="http://schemas.openxmlformats.org/spreadsheetml/2006/main" count="192" uniqueCount="106">
  <si>
    <t xml:space="preserve">Kit del Opositor 2026</t>
  </si>
  <si>
    <t xml:space="preserve">Tu agenda para preparar la oposición sin perder el ritmo</t>
  </si>
  <si>
    <t xml:space="preserve">Tres herramientas para planificar, repasar y medir tu progreso. Solo tienes que rellenar las celdas resaltadas: el resto se calcula solo.</t>
  </si>
  <si>
    <t xml:space="preserve">Qué incluye</t>
  </si>
  <si>
    <t xml:space="preserve">1. Retroplanning</t>
  </si>
  <si>
    <t xml:space="preserve">Pon la fecha del examen y reparte el temario hacia atrás, semana a semana, reservando tiempo para repaso y simulacros.</t>
  </si>
  <si>
    <t xml:space="preserve">2. Temario y Repasos</t>
  </si>
  <si>
    <t xml:space="preserve">Anota cuándo estudias cada tema y te marca solo los repasos a 1, 7 y 30 días (repaso espaciado).</t>
  </si>
  <si>
    <t xml:space="preserve">3. Tracker de Tests</t>
  </si>
  <si>
    <t xml:space="preserve">Registra aciertos y fallos de cada test y te señala automáticamente tus temas más flojos.</t>
  </si>
  <si>
    <t xml:space="preserve">Cómo se usa</t>
  </si>
  <si>
    <t xml:space="preserve">Celdas resaltadas en color = las rellenas tú.   Celdas blancas = se calculan solas.</t>
  </si>
  <si>
    <t xml:space="preserve">Las alertas de repaso y los "puntos débiles" se actualizan con la fecha de hoy cada vez que abres el archivo.</t>
  </si>
  <si>
    <t xml:space="preserve">Síguenos para no perderte ninguna convocatoria del BOE:</t>
  </si>
  <si>
    <t xml:space="preserve">Telegram @OPONOTICIAS  ·  Facebook  ·  Instagram @oponoticiason  ·  oponoticias.com</t>
  </si>
  <si>
    <t xml:space="preserve">  Retroplanning</t>
  </si>
  <si>
    <t xml:space="preserve">  Cuenta atrás desde el examen y reparto del temario</t>
  </si>
  <si>
    <t xml:space="preserve">▸ Datos de entrada (edita las celdas resaltadas)</t>
  </si>
  <si>
    <t xml:space="preserve">Fecha del examen</t>
  </si>
  <si>
    <t xml:space="preserve">Fecha de inicio del estudio</t>
  </si>
  <si>
    <t xml:space="preserve">Nº total de temas</t>
  </si>
  <si>
    <t xml:space="preserve">Semanas para repaso final</t>
  </si>
  <si>
    <t xml:space="preserve">Semanas para simulacros</t>
  </si>
  <si>
    <t xml:space="preserve">▸ Resumen automático</t>
  </si>
  <si>
    <t xml:space="preserve">Semanas totales disponibles</t>
  </si>
  <si>
    <t xml:space="preserve">Semanas para la 1ª vuelta</t>
  </si>
  <si>
    <t xml:space="preserve">Temas por semana (1ª vuelta)</t>
  </si>
  <si>
    <t xml:space="preserve">Días que faltan para el examen</t>
  </si>
  <si>
    <t xml:space="preserve">Semana</t>
  </si>
  <si>
    <t xml:space="preserve">Desde</t>
  </si>
  <si>
    <t xml:space="preserve">Hasta</t>
  </si>
  <si>
    <t xml:space="preserve">Fase</t>
  </si>
  <si>
    <t xml:space="preserve">Qué estudiar</t>
  </si>
  <si>
    <t xml:space="preserve">Hecho</t>
  </si>
  <si>
    <t xml:space="preserve">☐</t>
  </si>
  <si>
    <t xml:space="preserve">  Temario y Repasos</t>
  </si>
  <si>
    <t xml:space="preserve">  Repaso espaciado automático: 1, 7 y 30 días</t>
  </si>
  <si>
    <t xml:space="preserve">▸ Tu progreso</t>
  </si>
  <si>
    <t xml:space="preserve">Temas estudiados</t>
  </si>
  <si>
    <t xml:space="preserve">Dominados</t>
  </si>
  <si>
    <t xml:space="preserve">Repasos para HOY</t>
  </si>
  <si>
    <t xml:space="preserve">Nº</t>
  </si>
  <si>
    <t xml:space="preserve">Tema</t>
  </si>
  <si>
    <t xml:space="preserve">Fecha estudio</t>
  </si>
  <si>
    <t xml:space="preserve">Repaso +1d</t>
  </si>
  <si>
    <t xml:space="preserve">Repaso +7d</t>
  </si>
  <si>
    <t xml:space="preserve">Repaso +30d</t>
  </si>
  <si>
    <t xml:space="preserve">Próximo repaso</t>
  </si>
  <si>
    <t xml:space="preserve">¿Toca?</t>
  </si>
  <si>
    <t xml:space="preserve">Estado</t>
  </si>
  <si>
    <t xml:space="preserve">Notas</t>
  </si>
  <si>
    <t xml:space="preserve">Tema 1</t>
  </si>
  <si>
    <t xml:space="preserve">Tema 2</t>
  </si>
  <si>
    <t xml:space="preserve">Tema 3</t>
  </si>
  <si>
    <t xml:space="preserve">Tema 4</t>
  </si>
  <si>
    <t xml:space="preserve">Tema 5</t>
  </si>
  <si>
    <t xml:space="preserve">Tema 6</t>
  </si>
  <si>
    <t xml:space="preserve">Tema 7</t>
  </si>
  <si>
    <t xml:space="preserve">Tema 8</t>
  </si>
  <si>
    <t xml:space="preserve">Tema 9</t>
  </si>
  <si>
    <t xml:space="preserve">Tema 10</t>
  </si>
  <si>
    <t xml:space="preserve">Tema 11</t>
  </si>
  <si>
    <t xml:space="preserve">Tema 12</t>
  </si>
  <si>
    <t xml:space="preserve">Tema 13</t>
  </si>
  <si>
    <t xml:space="preserve">Tema 14</t>
  </si>
  <si>
    <t xml:space="preserve">Tema 15</t>
  </si>
  <si>
    <t xml:space="preserve">Tema 16</t>
  </si>
  <si>
    <t xml:space="preserve">Tema 17</t>
  </si>
  <si>
    <t xml:space="preserve">Tema 18</t>
  </si>
  <si>
    <t xml:space="preserve">Tema 19</t>
  </si>
  <si>
    <t xml:space="preserve">Tema 20</t>
  </si>
  <si>
    <t xml:space="preserve">Tema 21</t>
  </si>
  <si>
    <t xml:space="preserve">Tema 22</t>
  </si>
  <si>
    <t xml:space="preserve">Tema 23</t>
  </si>
  <si>
    <t xml:space="preserve">Tema 24</t>
  </si>
  <si>
    <t xml:space="preserve">Tema 25</t>
  </si>
  <si>
    <t xml:space="preserve">Tema 26</t>
  </si>
  <si>
    <t xml:space="preserve">Tema 27</t>
  </si>
  <si>
    <t xml:space="preserve">Tema 28</t>
  </si>
  <si>
    <t xml:space="preserve">Tema 29</t>
  </si>
  <si>
    <t xml:space="preserve">Tema 30</t>
  </si>
  <si>
    <t xml:space="preserve">Tema 31</t>
  </si>
  <si>
    <t xml:space="preserve">Tema 32</t>
  </si>
  <si>
    <t xml:space="preserve">Tema 33</t>
  </si>
  <si>
    <t xml:space="preserve">Tema 34</t>
  </si>
  <si>
    <t xml:space="preserve">Tema 35</t>
  </si>
  <si>
    <t xml:space="preserve">Tema 36</t>
  </si>
  <si>
    <t xml:space="preserve">Tema 37</t>
  </si>
  <si>
    <t xml:space="preserve">Tema 38</t>
  </si>
  <si>
    <t xml:space="preserve">Tema 39</t>
  </si>
  <si>
    <t xml:space="preserve">Tema 40</t>
  </si>
  <si>
    <t xml:space="preserve">  Tracker de Tests</t>
  </si>
  <si>
    <t xml:space="preserve">  Registra tus tests y detecta tus temas más flojos</t>
  </si>
  <si>
    <t xml:space="preserve">▸ Registro de tests</t>
  </si>
  <si>
    <t xml:space="preserve">▸ Resumen por tema</t>
  </si>
  <si>
    <t xml:space="preserve">Fecha</t>
  </si>
  <si>
    <t xml:space="preserve">Nº preg.</t>
  </si>
  <si>
    <t xml:space="preserve">Aciertos</t>
  </si>
  <si>
    <t xml:space="preserve">Fallos</t>
  </si>
  <si>
    <t xml:space="preserve">En blanco</t>
  </si>
  <si>
    <t xml:space="preserve">% acierto</t>
  </si>
  <si>
    <t xml:space="preserve">Cuadre</t>
  </si>
  <si>
    <t xml:space="preserve">Nº tests</t>
  </si>
  <si>
    <t xml:space="preserve">Preguntas</t>
  </si>
  <si>
    <t xml:space="preserve">% medio</t>
  </si>
  <si>
    <t xml:space="preserve">% acierto general: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</si>
</sst>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General"/>
    <numFmt numFmtId="168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A5047"/>
      <name val="Georgia"/>
      <family val="0"/>
      <charset val="1"/>
    </font>
    <font>
      <i val="true"/>
      <sz val="11"/>
      <color rgb="FFB08D4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5A5047"/>
      <name val="Georgia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5A5047"/>
      <name val="Arial"/>
      <family val="0"/>
      <charset val="1"/>
    </font>
    <font>
      <sz val="10"/>
      <color rgb="FFB08D4F"/>
      <name val="Arial"/>
      <family val="0"/>
      <charset val="1"/>
    </font>
    <font>
      <b val="true"/>
      <sz val="18"/>
      <color rgb="FFFFFFFF"/>
      <name val="Georgia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B08D4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9A8F7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E6658"/>
        <bgColor rgb="FF5A5047"/>
      </patternFill>
    </fill>
    <fill>
      <patternFill patternType="solid">
        <fgColor rgb="FF5A5047"/>
        <bgColor rgb="FF6E6658"/>
      </patternFill>
    </fill>
    <fill>
      <patternFill patternType="solid">
        <fgColor rgb="FFF3E7C7"/>
        <bgColor rgb="FFECE6DB"/>
      </patternFill>
    </fill>
    <fill>
      <patternFill patternType="solid">
        <fgColor rgb="FFF8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D6C8"/>
      </left>
      <right style="thin">
        <color rgb="FFDED6C8"/>
      </right>
      <top style="thin">
        <color rgb="FFDED6C8"/>
      </top>
      <bottom style="thin">
        <color rgb="FFDED6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ECE6DB"/>
        </patternFill>
      </fill>
    </dxf>
    <dxf>
      <fill>
        <patternFill>
          <bgColor rgb="FFF3E7C7"/>
        </patternFill>
      </fill>
    </dxf>
    <dxf>
      <fill>
        <patternFill>
          <bgColor rgb="FFE6EADF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7C7"/>
      <rgbColor rgb="FFB08D4F"/>
      <rgbColor rgb="FF9999FF"/>
      <rgbColor rgb="FF993366"/>
      <rgbColor rgb="FFF8F5F0"/>
      <rgbColor rgb="FFE6EADF"/>
      <rgbColor rgb="FF660066"/>
      <rgbColor rgb="FFFF8080"/>
      <rgbColor rgb="FF0066CC"/>
      <rgbColor rgb="FFDED6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6D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E6658"/>
      <rgbColor rgb="FF9A8F7C"/>
      <rgbColor rgb="FF003366"/>
      <rgbColor rgb="FF339966"/>
      <rgbColor rgb="FF003300"/>
      <rgbColor rgb="FF333300"/>
      <rgbColor rgb="FF993300"/>
      <rgbColor rgb="FF993366"/>
      <rgbColor rgb="FF333399"/>
      <rgbColor rgb="FF5A50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2856960</xdr:colOff>
      <xdr:row>0</xdr:row>
      <xdr:rowOff>904320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0"/>
          <a:ext cx="2856960" cy="904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5</xdr:col>
      <xdr:colOff>285120</xdr:colOff>
      <xdr:row>0</xdr:row>
      <xdr:rowOff>285120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6696000" y="0"/>
          <a:ext cx="285120" cy="285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9</xdr:col>
      <xdr:colOff>285120</xdr:colOff>
      <xdr:row>0</xdr:row>
      <xdr:rowOff>285120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0008720" y="0"/>
          <a:ext cx="285120" cy="285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0</xdr:row>
      <xdr:rowOff>0</xdr:rowOff>
    </xdr:from>
    <xdr:to>
      <xdr:col>14</xdr:col>
      <xdr:colOff>285120</xdr:colOff>
      <xdr:row>0</xdr:row>
      <xdr:rowOff>285120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0925280" y="0"/>
          <a:ext cx="285120" cy="285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30"/>
  </cols>
  <sheetData>
    <row r="1" customFormat="false" ht="81.75" hidden="false" customHeight="true" outlineLevel="0" collapsed="false"/>
    <row r="3" customFormat="false" ht="24.45" hidden="false" customHeight="false" outlineLevel="0" collapsed="false">
      <c r="B3" s="2" t="s">
        <v>0</v>
      </c>
      <c r="C3" s="2"/>
    </row>
    <row r="4" customFormat="false" ht="15" hidden="false" customHeight="false" outlineLevel="0" collapsed="false">
      <c r="B4" s="3" t="s">
        <v>1</v>
      </c>
      <c r="C4" s="3"/>
    </row>
    <row r="6" customFormat="false" ht="42" hidden="false" customHeight="true" outlineLevel="0" collapsed="false">
      <c r="B6" s="4" t="s">
        <v>2</v>
      </c>
      <c r="C6" s="4"/>
    </row>
    <row r="8" customFormat="false" ht="15" hidden="false" customHeight="false" outlineLevel="0" collapsed="false">
      <c r="B8" s="5" t="s">
        <v>3</v>
      </c>
      <c r="C8" s="6"/>
    </row>
    <row r="9" customFormat="false" ht="15" hidden="false" customHeight="false" outlineLevel="0" collapsed="false">
      <c r="B9" s="7" t="s">
        <v>4</v>
      </c>
    </row>
    <row r="10" customFormat="false" ht="30" hidden="false" customHeight="true" outlineLevel="0" collapsed="false">
      <c r="B10" s="8" t="s">
        <v>5</v>
      </c>
      <c r="C10" s="8"/>
    </row>
    <row r="11" customFormat="false" ht="15" hidden="false" customHeight="false" outlineLevel="0" collapsed="false">
      <c r="B11" s="7" t="s">
        <v>6</v>
      </c>
    </row>
    <row r="12" customFormat="false" ht="30" hidden="false" customHeight="true" outlineLevel="0" collapsed="false">
      <c r="B12" s="8" t="s">
        <v>7</v>
      </c>
      <c r="C12" s="8"/>
    </row>
    <row r="13" customFormat="false" ht="15" hidden="false" customHeight="false" outlineLevel="0" collapsed="false">
      <c r="B13" s="7" t="s">
        <v>8</v>
      </c>
    </row>
    <row r="14" customFormat="false" ht="30" hidden="false" customHeight="true" outlineLevel="0" collapsed="false">
      <c r="B14" s="8" t="s">
        <v>9</v>
      </c>
      <c r="C14" s="8"/>
    </row>
    <row r="16" customFormat="false" ht="15" hidden="false" customHeight="false" outlineLevel="0" collapsed="false">
      <c r="B16" s="5" t="s">
        <v>10</v>
      </c>
      <c r="C16" s="6"/>
    </row>
    <row r="17" customFormat="false" ht="15" hidden="false" customHeight="true" outlineLevel="0" collapsed="false">
      <c r="B17" s="8" t="s">
        <v>11</v>
      </c>
      <c r="C17" s="8"/>
    </row>
    <row r="18" customFormat="false" ht="27.75" hidden="false" customHeight="true" outlineLevel="0" collapsed="false">
      <c r="B18" s="8" t="s">
        <v>12</v>
      </c>
      <c r="C18" s="8"/>
    </row>
    <row r="20" customFormat="false" ht="15" hidden="false" customHeight="false" outlineLevel="0" collapsed="false">
      <c r="B20" s="9" t="s">
        <v>13</v>
      </c>
    </row>
    <row r="21" customFormat="false" ht="15" hidden="false" customHeight="false" outlineLevel="0" collapsed="false">
      <c r="B21" s="10" t="s">
        <v>14</v>
      </c>
    </row>
  </sheetData>
  <mergeCells count="8">
    <mergeCell ref="B3:C3"/>
    <mergeCell ref="B4:C4"/>
    <mergeCell ref="B6:C6"/>
    <mergeCell ref="B10:C10"/>
    <mergeCell ref="B12:C12"/>
    <mergeCell ref="B14:C14"/>
    <mergeCell ref="B17:C17"/>
    <mergeCell ref="B18:C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3"/>
    <col collapsed="false" customWidth="true" hidden="false" outlineLevel="0" max="4" min="4" style="1" width="14"/>
    <col collapsed="false" customWidth="true" hidden="false" outlineLevel="0" max="5" min="5" style="1" width="46"/>
    <col collapsed="false" customWidth="true" hidden="false" outlineLevel="0" max="6" min="6" style="1" width="9"/>
  </cols>
  <sheetData>
    <row r="1" customFormat="false" ht="31.5" hidden="false" customHeight="true" outlineLevel="0" collapsed="false">
      <c r="A1" s="11" t="s">
        <v>15</v>
      </c>
      <c r="B1" s="11"/>
      <c r="C1" s="11"/>
      <c r="D1" s="11"/>
      <c r="E1" s="11"/>
      <c r="F1" s="11"/>
    </row>
    <row r="2" customFormat="false" ht="18" hidden="false" customHeight="true" outlineLevel="0" collapsed="false">
      <c r="A2" s="12" t="s">
        <v>16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5" t="s">
        <v>17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13" t="s">
        <v>18</v>
      </c>
      <c r="B5" s="13"/>
      <c r="C5" s="14" t="n">
        <v>46522</v>
      </c>
    </row>
    <row r="6" customFormat="false" ht="15" hidden="false" customHeight="false" outlineLevel="0" collapsed="false">
      <c r="A6" s="13" t="s">
        <v>19</v>
      </c>
      <c r="B6" s="13"/>
      <c r="C6" s="14" t="n">
        <v>46266</v>
      </c>
    </row>
    <row r="7" customFormat="false" ht="15" hidden="false" customHeight="false" outlineLevel="0" collapsed="false">
      <c r="A7" s="13" t="s">
        <v>20</v>
      </c>
      <c r="B7" s="13"/>
      <c r="C7" s="15" t="n">
        <v>40</v>
      </c>
    </row>
    <row r="8" customFormat="false" ht="15" hidden="false" customHeight="false" outlineLevel="0" collapsed="false">
      <c r="A8" s="13" t="s">
        <v>21</v>
      </c>
      <c r="B8" s="13"/>
      <c r="C8" s="15" t="n">
        <v>4</v>
      </c>
    </row>
    <row r="9" customFormat="false" ht="15" hidden="false" customHeight="false" outlineLevel="0" collapsed="false">
      <c r="A9" s="13" t="s">
        <v>22</v>
      </c>
      <c r="B9" s="13"/>
      <c r="C9" s="15" t="n">
        <v>4</v>
      </c>
    </row>
    <row r="11" customFormat="false" ht="15" hidden="false" customHeight="false" outlineLevel="0" collapsed="false">
      <c r="A11" s="5" t="s">
        <v>23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13" t="s">
        <v>24</v>
      </c>
      <c r="B12" s="13"/>
      <c r="C12" s="16" t="n">
        <f aca="false">INT((C5-C6)/7)</f>
        <v>36</v>
      </c>
    </row>
    <row r="13" customFormat="false" ht="15" hidden="false" customHeight="false" outlineLevel="0" collapsed="false">
      <c r="A13" s="13" t="s">
        <v>25</v>
      </c>
      <c r="B13" s="13"/>
      <c r="C13" s="16" t="n">
        <f aca="false">C12-C8-C9</f>
        <v>28</v>
      </c>
    </row>
    <row r="14" customFormat="false" ht="15" hidden="false" customHeight="false" outlineLevel="0" collapsed="false">
      <c r="A14" s="13" t="s">
        <v>26</v>
      </c>
      <c r="B14" s="13"/>
      <c r="C14" s="16" t="n">
        <f aca="false">IF(C13&gt;0,ROUNDUP(C7/C13,0),0)</f>
        <v>2</v>
      </c>
    </row>
    <row r="15" customFormat="false" ht="15" hidden="false" customHeight="false" outlineLevel="0" collapsed="false">
      <c r="A15" s="13" t="s">
        <v>27</v>
      </c>
      <c r="B15" s="13"/>
      <c r="C15" s="16" t="n">
        <f aca="true">C5-TODAY()</f>
        <v>320</v>
      </c>
    </row>
    <row r="17" customFormat="false" ht="15" hidden="false" customHeight="false" outlineLevel="0" collapsed="false">
      <c r="A17" s="17" t="s">
        <v>28</v>
      </c>
      <c r="B17" s="17" t="s">
        <v>29</v>
      </c>
      <c r="C17" s="17" t="s">
        <v>30</v>
      </c>
      <c r="D17" s="17" t="s">
        <v>31</v>
      </c>
      <c r="E17" s="17" t="s">
        <v>32</v>
      </c>
      <c r="F17" s="17" t="s">
        <v>33</v>
      </c>
    </row>
    <row r="18" customFormat="false" ht="15" hidden="false" customHeight="false" outlineLevel="0" collapsed="false">
      <c r="A18" s="18" t="n">
        <f aca="false">IF(ROW()-17&lt;=$C$12,ROW()-17,"")</f>
        <v>1</v>
      </c>
      <c r="B18" s="19" t="n">
        <f aca="false">IF($A18="","",$C$6+($A18-1)*7)</f>
        <v>46266</v>
      </c>
      <c r="C18" s="19" t="n">
        <f aca="false">IF($A18="","",$C$6+$A18*7-1)</f>
        <v>46272</v>
      </c>
      <c r="D18" s="20" t="str">
        <f aca="false">IF($A18="","",IF($A18&lt;=$C$13,"1ª vuelta",IF($A18&lt;=$C$13+$C$8,"Repaso",IF($A18&lt;=$C$12,"Simulacros",""))))</f>
        <v>1ª vuelta</v>
      </c>
      <c r="E18" s="21" t="str">
        <f aca="false">IF($A18="","",IF($A18&lt;=$C$13,IF(($A18-1)*$C$14+1&gt;$C$7,"Margen / repaso voluntario","Temas "&amp;(($A18-1)*$C$14+1)&amp;" a "&amp;MIN($A18*$C$14,$C$7)),IF($A18&lt;=$C$13+$C$8,"Repaso general del temario","Simulacros + repaso de fallos")))</f>
        <v>Temas 1 a 2</v>
      </c>
      <c r="F18" s="22" t="s">
        <v>34</v>
      </c>
    </row>
    <row r="19" customFormat="false" ht="15" hidden="false" customHeight="false" outlineLevel="0" collapsed="false">
      <c r="A19" s="23" t="n">
        <f aca="false">IF(ROW()-17&lt;=$C$12,ROW()-17,"")</f>
        <v>2</v>
      </c>
      <c r="B19" s="24" t="n">
        <f aca="false">IF($A19="","",$C$6+($A19-1)*7)</f>
        <v>46273</v>
      </c>
      <c r="C19" s="24" t="n">
        <f aca="false">IF($A19="","",$C$6+$A19*7-1)</f>
        <v>46279</v>
      </c>
      <c r="D19" s="25" t="str">
        <f aca="false">IF($A19="","",IF($A19&lt;=$C$13,"1ª vuelta",IF($A19&lt;=$C$13+$C$8,"Repaso",IF($A19&lt;=$C$12,"Simulacros",""))))</f>
        <v>1ª vuelta</v>
      </c>
      <c r="E19" s="26" t="str">
        <f aca="false">IF($A19="","",IF($A19&lt;=$C$13,IF(($A19-1)*$C$14+1&gt;$C$7,"Margen / repaso voluntario","Temas "&amp;(($A19-1)*$C$14+1)&amp;" a "&amp;MIN($A19*$C$14,$C$7)),IF($A19&lt;=$C$13+$C$8,"Repaso general del temario","Simulacros + repaso de fallos")))</f>
        <v>Temas 3 a 4</v>
      </c>
      <c r="F19" s="27" t="s">
        <v>34</v>
      </c>
    </row>
    <row r="20" customFormat="false" ht="15" hidden="false" customHeight="false" outlineLevel="0" collapsed="false">
      <c r="A20" s="18" t="n">
        <f aca="false">IF(ROW()-17&lt;=$C$12,ROW()-17,"")</f>
        <v>3</v>
      </c>
      <c r="B20" s="19" t="n">
        <f aca="false">IF($A20="","",$C$6+($A20-1)*7)</f>
        <v>46280</v>
      </c>
      <c r="C20" s="19" t="n">
        <f aca="false">IF($A20="","",$C$6+$A20*7-1)</f>
        <v>46286</v>
      </c>
      <c r="D20" s="20" t="str">
        <f aca="false">IF($A20="","",IF($A20&lt;=$C$13,"1ª vuelta",IF($A20&lt;=$C$13+$C$8,"Repaso",IF($A20&lt;=$C$12,"Simulacros",""))))</f>
        <v>1ª vuelta</v>
      </c>
      <c r="E20" s="21" t="str">
        <f aca="false">IF($A20="","",IF($A20&lt;=$C$13,IF(($A20-1)*$C$14+1&gt;$C$7,"Margen / repaso voluntario","Temas "&amp;(($A20-1)*$C$14+1)&amp;" a "&amp;MIN($A20*$C$14,$C$7)),IF($A20&lt;=$C$13+$C$8,"Repaso general del temario","Simulacros + repaso de fallos")))</f>
        <v>Temas 5 a 6</v>
      </c>
      <c r="F20" s="22" t="s">
        <v>34</v>
      </c>
    </row>
    <row r="21" customFormat="false" ht="15" hidden="false" customHeight="false" outlineLevel="0" collapsed="false">
      <c r="A21" s="23" t="n">
        <f aca="false">IF(ROW()-17&lt;=$C$12,ROW()-17,"")</f>
        <v>4</v>
      </c>
      <c r="B21" s="24" t="n">
        <f aca="false">IF($A21="","",$C$6+($A21-1)*7)</f>
        <v>46287</v>
      </c>
      <c r="C21" s="24" t="n">
        <f aca="false">IF($A21="","",$C$6+$A21*7-1)</f>
        <v>46293</v>
      </c>
      <c r="D21" s="25" t="str">
        <f aca="false">IF($A21="","",IF($A21&lt;=$C$13,"1ª vuelta",IF($A21&lt;=$C$13+$C$8,"Repaso",IF($A21&lt;=$C$12,"Simulacros",""))))</f>
        <v>1ª vuelta</v>
      </c>
      <c r="E21" s="26" t="str">
        <f aca="false">IF($A21="","",IF($A21&lt;=$C$13,IF(($A21-1)*$C$14+1&gt;$C$7,"Margen / repaso voluntario","Temas "&amp;(($A21-1)*$C$14+1)&amp;" a "&amp;MIN($A21*$C$14,$C$7)),IF($A21&lt;=$C$13+$C$8,"Repaso general del temario","Simulacros + repaso de fallos")))</f>
        <v>Temas 7 a 8</v>
      </c>
      <c r="F21" s="27" t="s">
        <v>34</v>
      </c>
    </row>
    <row r="22" customFormat="false" ht="15" hidden="false" customHeight="false" outlineLevel="0" collapsed="false">
      <c r="A22" s="18" t="n">
        <f aca="false">IF(ROW()-17&lt;=$C$12,ROW()-17,"")</f>
        <v>5</v>
      </c>
      <c r="B22" s="19" t="n">
        <f aca="false">IF($A22="","",$C$6+($A22-1)*7)</f>
        <v>46294</v>
      </c>
      <c r="C22" s="19" t="n">
        <f aca="false">IF($A22="","",$C$6+$A22*7-1)</f>
        <v>46300</v>
      </c>
      <c r="D22" s="20" t="str">
        <f aca="false">IF($A22="","",IF($A22&lt;=$C$13,"1ª vuelta",IF($A22&lt;=$C$13+$C$8,"Repaso",IF($A22&lt;=$C$12,"Simulacros",""))))</f>
        <v>1ª vuelta</v>
      </c>
      <c r="E22" s="21" t="str">
        <f aca="false">IF($A22="","",IF($A22&lt;=$C$13,IF(($A22-1)*$C$14+1&gt;$C$7,"Margen / repaso voluntario","Temas "&amp;(($A22-1)*$C$14+1)&amp;" a "&amp;MIN($A22*$C$14,$C$7)),IF($A22&lt;=$C$13+$C$8,"Repaso general del temario","Simulacros + repaso de fallos")))</f>
        <v>Temas 9 a 10</v>
      </c>
      <c r="F22" s="22" t="s">
        <v>34</v>
      </c>
    </row>
    <row r="23" customFormat="false" ht="15" hidden="false" customHeight="false" outlineLevel="0" collapsed="false">
      <c r="A23" s="23" t="n">
        <f aca="false">IF(ROW()-17&lt;=$C$12,ROW()-17,"")</f>
        <v>6</v>
      </c>
      <c r="B23" s="24" t="n">
        <f aca="false">IF($A23="","",$C$6+($A23-1)*7)</f>
        <v>46301</v>
      </c>
      <c r="C23" s="24" t="n">
        <f aca="false">IF($A23="","",$C$6+$A23*7-1)</f>
        <v>46307</v>
      </c>
      <c r="D23" s="25" t="str">
        <f aca="false">IF($A23="","",IF($A23&lt;=$C$13,"1ª vuelta",IF($A23&lt;=$C$13+$C$8,"Repaso",IF($A23&lt;=$C$12,"Simulacros",""))))</f>
        <v>1ª vuelta</v>
      </c>
      <c r="E23" s="26" t="str">
        <f aca="false">IF($A23="","",IF($A23&lt;=$C$13,IF(($A23-1)*$C$14+1&gt;$C$7,"Margen / repaso voluntario","Temas "&amp;(($A23-1)*$C$14+1)&amp;" a "&amp;MIN($A23*$C$14,$C$7)),IF($A23&lt;=$C$13+$C$8,"Repaso general del temario","Simulacros + repaso de fallos")))</f>
        <v>Temas 11 a 12</v>
      </c>
      <c r="F23" s="27" t="s">
        <v>34</v>
      </c>
    </row>
    <row r="24" customFormat="false" ht="15" hidden="false" customHeight="false" outlineLevel="0" collapsed="false">
      <c r="A24" s="18" t="n">
        <f aca="false">IF(ROW()-17&lt;=$C$12,ROW()-17,"")</f>
        <v>7</v>
      </c>
      <c r="B24" s="19" t="n">
        <f aca="false">IF($A24="","",$C$6+($A24-1)*7)</f>
        <v>46308</v>
      </c>
      <c r="C24" s="19" t="n">
        <f aca="false">IF($A24="","",$C$6+$A24*7-1)</f>
        <v>46314</v>
      </c>
      <c r="D24" s="20" t="str">
        <f aca="false">IF($A24="","",IF($A24&lt;=$C$13,"1ª vuelta",IF($A24&lt;=$C$13+$C$8,"Repaso",IF($A24&lt;=$C$12,"Simulacros",""))))</f>
        <v>1ª vuelta</v>
      </c>
      <c r="E24" s="21" t="str">
        <f aca="false">IF($A24="","",IF($A24&lt;=$C$13,IF(($A24-1)*$C$14+1&gt;$C$7,"Margen / repaso voluntario","Temas "&amp;(($A24-1)*$C$14+1)&amp;" a "&amp;MIN($A24*$C$14,$C$7)),IF($A24&lt;=$C$13+$C$8,"Repaso general del temario","Simulacros + repaso de fallos")))</f>
        <v>Temas 13 a 14</v>
      </c>
      <c r="F24" s="22" t="s">
        <v>34</v>
      </c>
    </row>
    <row r="25" customFormat="false" ht="15" hidden="false" customHeight="false" outlineLevel="0" collapsed="false">
      <c r="A25" s="23" t="n">
        <f aca="false">IF(ROW()-17&lt;=$C$12,ROW()-17,"")</f>
        <v>8</v>
      </c>
      <c r="B25" s="24" t="n">
        <f aca="false">IF($A25="","",$C$6+($A25-1)*7)</f>
        <v>46315</v>
      </c>
      <c r="C25" s="24" t="n">
        <f aca="false">IF($A25="","",$C$6+$A25*7-1)</f>
        <v>46321</v>
      </c>
      <c r="D25" s="25" t="str">
        <f aca="false">IF($A25="","",IF($A25&lt;=$C$13,"1ª vuelta",IF($A25&lt;=$C$13+$C$8,"Repaso",IF($A25&lt;=$C$12,"Simulacros",""))))</f>
        <v>1ª vuelta</v>
      </c>
      <c r="E25" s="26" t="str">
        <f aca="false">IF($A25="","",IF($A25&lt;=$C$13,IF(($A25-1)*$C$14+1&gt;$C$7,"Margen / repaso voluntario","Temas "&amp;(($A25-1)*$C$14+1)&amp;" a "&amp;MIN($A25*$C$14,$C$7)),IF($A25&lt;=$C$13+$C$8,"Repaso general del temario","Simulacros + repaso de fallos")))</f>
        <v>Temas 15 a 16</v>
      </c>
      <c r="F25" s="27" t="s">
        <v>34</v>
      </c>
    </row>
    <row r="26" customFormat="false" ht="15" hidden="false" customHeight="false" outlineLevel="0" collapsed="false">
      <c r="A26" s="18" t="n">
        <f aca="false">IF(ROW()-17&lt;=$C$12,ROW()-17,"")</f>
        <v>9</v>
      </c>
      <c r="B26" s="19" t="n">
        <f aca="false">IF($A26="","",$C$6+($A26-1)*7)</f>
        <v>46322</v>
      </c>
      <c r="C26" s="19" t="n">
        <f aca="false">IF($A26="","",$C$6+$A26*7-1)</f>
        <v>46328</v>
      </c>
      <c r="D26" s="20" t="str">
        <f aca="false">IF($A26="","",IF($A26&lt;=$C$13,"1ª vuelta",IF($A26&lt;=$C$13+$C$8,"Repaso",IF($A26&lt;=$C$12,"Simulacros",""))))</f>
        <v>1ª vuelta</v>
      </c>
      <c r="E26" s="21" t="str">
        <f aca="false">IF($A26="","",IF($A26&lt;=$C$13,IF(($A26-1)*$C$14+1&gt;$C$7,"Margen / repaso voluntario","Temas "&amp;(($A26-1)*$C$14+1)&amp;" a "&amp;MIN($A26*$C$14,$C$7)),IF($A26&lt;=$C$13+$C$8,"Repaso general del temario","Simulacros + repaso de fallos")))</f>
        <v>Temas 17 a 18</v>
      </c>
      <c r="F26" s="22" t="s">
        <v>34</v>
      </c>
    </row>
    <row r="27" customFormat="false" ht="15" hidden="false" customHeight="false" outlineLevel="0" collapsed="false">
      <c r="A27" s="23" t="n">
        <f aca="false">IF(ROW()-17&lt;=$C$12,ROW()-17,"")</f>
        <v>10</v>
      </c>
      <c r="B27" s="24" t="n">
        <f aca="false">IF($A27="","",$C$6+($A27-1)*7)</f>
        <v>46329</v>
      </c>
      <c r="C27" s="24" t="n">
        <f aca="false">IF($A27="","",$C$6+$A27*7-1)</f>
        <v>46335</v>
      </c>
      <c r="D27" s="25" t="str">
        <f aca="false">IF($A27="","",IF($A27&lt;=$C$13,"1ª vuelta",IF($A27&lt;=$C$13+$C$8,"Repaso",IF($A27&lt;=$C$12,"Simulacros",""))))</f>
        <v>1ª vuelta</v>
      </c>
      <c r="E27" s="26" t="str">
        <f aca="false">IF($A27="","",IF($A27&lt;=$C$13,IF(($A27-1)*$C$14+1&gt;$C$7,"Margen / repaso voluntario","Temas "&amp;(($A27-1)*$C$14+1)&amp;" a "&amp;MIN($A27*$C$14,$C$7)),IF($A27&lt;=$C$13+$C$8,"Repaso general del temario","Simulacros + repaso de fallos")))</f>
        <v>Temas 19 a 20</v>
      </c>
      <c r="F27" s="27" t="s">
        <v>34</v>
      </c>
    </row>
    <row r="28" customFormat="false" ht="15" hidden="false" customHeight="false" outlineLevel="0" collapsed="false">
      <c r="A28" s="18" t="n">
        <f aca="false">IF(ROW()-17&lt;=$C$12,ROW()-17,"")</f>
        <v>11</v>
      </c>
      <c r="B28" s="19" t="n">
        <f aca="false">IF($A28="","",$C$6+($A28-1)*7)</f>
        <v>46336</v>
      </c>
      <c r="C28" s="19" t="n">
        <f aca="false">IF($A28="","",$C$6+$A28*7-1)</f>
        <v>46342</v>
      </c>
      <c r="D28" s="20" t="str">
        <f aca="false">IF($A28="","",IF($A28&lt;=$C$13,"1ª vuelta",IF($A28&lt;=$C$13+$C$8,"Repaso",IF($A28&lt;=$C$12,"Simulacros",""))))</f>
        <v>1ª vuelta</v>
      </c>
      <c r="E28" s="21" t="str">
        <f aca="false">IF($A28="","",IF($A28&lt;=$C$13,IF(($A28-1)*$C$14+1&gt;$C$7,"Margen / repaso voluntario","Temas "&amp;(($A28-1)*$C$14+1)&amp;" a "&amp;MIN($A28*$C$14,$C$7)),IF($A28&lt;=$C$13+$C$8,"Repaso general del temario","Simulacros + repaso de fallos")))</f>
        <v>Temas 21 a 22</v>
      </c>
      <c r="F28" s="22" t="s">
        <v>34</v>
      </c>
    </row>
    <row r="29" customFormat="false" ht="15" hidden="false" customHeight="false" outlineLevel="0" collapsed="false">
      <c r="A29" s="23" t="n">
        <f aca="false">IF(ROW()-17&lt;=$C$12,ROW()-17,"")</f>
        <v>12</v>
      </c>
      <c r="B29" s="24" t="n">
        <f aca="false">IF($A29="","",$C$6+($A29-1)*7)</f>
        <v>46343</v>
      </c>
      <c r="C29" s="24" t="n">
        <f aca="false">IF($A29="","",$C$6+$A29*7-1)</f>
        <v>46349</v>
      </c>
      <c r="D29" s="25" t="str">
        <f aca="false">IF($A29="","",IF($A29&lt;=$C$13,"1ª vuelta",IF($A29&lt;=$C$13+$C$8,"Repaso",IF($A29&lt;=$C$12,"Simulacros",""))))</f>
        <v>1ª vuelta</v>
      </c>
      <c r="E29" s="26" t="str">
        <f aca="false">IF($A29="","",IF($A29&lt;=$C$13,IF(($A29-1)*$C$14+1&gt;$C$7,"Margen / repaso voluntario","Temas "&amp;(($A29-1)*$C$14+1)&amp;" a "&amp;MIN($A29*$C$14,$C$7)),IF($A29&lt;=$C$13+$C$8,"Repaso general del temario","Simulacros + repaso de fallos")))</f>
        <v>Temas 23 a 24</v>
      </c>
      <c r="F29" s="27" t="s">
        <v>34</v>
      </c>
    </row>
    <row r="30" customFormat="false" ht="15" hidden="false" customHeight="false" outlineLevel="0" collapsed="false">
      <c r="A30" s="18" t="n">
        <f aca="false">IF(ROW()-17&lt;=$C$12,ROW()-17,"")</f>
        <v>13</v>
      </c>
      <c r="B30" s="19" t="n">
        <f aca="false">IF($A30="","",$C$6+($A30-1)*7)</f>
        <v>46350</v>
      </c>
      <c r="C30" s="19" t="n">
        <f aca="false">IF($A30="","",$C$6+$A30*7-1)</f>
        <v>46356</v>
      </c>
      <c r="D30" s="20" t="str">
        <f aca="false">IF($A30="","",IF($A30&lt;=$C$13,"1ª vuelta",IF($A30&lt;=$C$13+$C$8,"Repaso",IF($A30&lt;=$C$12,"Simulacros",""))))</f>
        <v>1ª vuelta</v>
      </c>
      <c r="E30" s="21" t="str">
        <f aca="false">IF($A30="","",IF($A30&lt;=$C$13,IF(($A30-1)*$C$14+1&gt;$C$7,"Margen / repaso voluntario","Temas "&amp;(($A30-1)*$C$14+1)&amp;" a "&amp;MIN($A30*$C$14,$C$7)),IF($A30&lt;=$C$13+$C$8,"Repaso general del temario","Simulacros + repaso de fallos")))</f>
        <v>Temas 25 a 26</v>
      </c>
      <c r="F30" s="22" t="s">
        <v>34</v>
      </c>
    </row>
    <row r="31" customFormat="false" ht="15" hidden="false" customHeight="false" outlineLevel="0" collapsed="false">
      <c r="A31" s="23" t="n">
        <f aca="false">IF(ROW()-17&lt;=$C$12,ROW()-17,"")</f>
        <v>14</v>
      </c>
      <c r="B31" s="24" t="n">
        <f aca="false">IF($A31="","",$C$6+($A31-1)*7)</f>
        <v>46357</v>
      </c>
      <c r="C31" s="24" t="n">
        <f aca="false">IF($A31="","",$C$6+$A31*7-1)</f>
        <v>46363</v>
      </c>
      <c r="D31" s="25" t="str">
        <f aca="false">IF($A31="","",IF($A31&lt;=$C$13,"1ª vuelta",IF($A31&lt;=$C$13+$C$8,"Repaso",IF($A31&lt;=$C$12,"Simulacros",""))))</f>
        <v>1ª vuelta</v>
      </c>
      <c r="E31" s="26" t="str">
        <f aca="false">IF($A31="","",IF($A31&lt;=$C$13,IF(($A31-1)*$C$14+1&gt;$C$7,"Margen / repaso voluntario","Temas "&amp;(($A31-1)*$C$14+1)&amp;" a "&amp;MIN($A31*$C$14,$C$7)),IF($A31&lt;=$C$13+$C$8,"Repaso general del temario","Simulacros + repaso de fallos")))</f>
        <v>Temas 27 a 28</v>
      </c>
      <c r="F31" s="27" t="s">
        <v>34</v>
      </c>
    </row>
    <row r="32" customFormat="false" ht="15" hidden="false" customHeight="false" outlineLevel="0" collapsed="false">
      <c r="A32" s="18" t="n">
        <f aca="false">IF(ROW()-17&lt;=$C$12,ROW()-17,"")</f>
        <v>15</v>
      </c>
      <c r="B32" s="19" t="n">
        <f aca="false">IF($A32="","",$C$6+($A32-1)*7)</f>
        <v>46364</v>
      </c>
      <c r="C32" s="19" t="n">
        <f aca="false">IF($A32="","",$C$6+$A32*7-1)</f>
        <v>46370</v>
      </c>
      <c r="D32" s="20" t="str">
        <f aca="false">IF($A32="","",IF($A32&lt;=$C$13,"1ª vuelta",IF($A32&lt;=$C$13+$C$8,"Repaso",IF($A32&lt;=$C$12,"Simulacros",""))))</f>
        <v>1ª vuelta</v>
      </c>
      <c r="E32" s="21" t="str">
        <f aca="false">IF($A32="","",IF($A32&lt;=$C$13,IF(($A32-1)*$C$14+1&gt;$C$7,"Margen / repaso voluntario","Temas "&amp;(($A32-1)*$C$14+1)&amp;" a "&amp;MIN($A32*$C$14,$C$7)),IF($A32&lt;=$C$13+$C$8,"Repaso general del temario","Simulacros + repaso de fallos")))</f>
        <v>Temas 29 a 30</v>
      </c>
      <c r="F32" s="22" t="s">
        <v>34</v>
      </c>
    </row>
    <row r="33" customFormat="false" ht="15" hidden="false" customHeight="false" outlineLevel="0" collapsed="false">
      <c r="A33" s="23" t="n">
        <f aca="false">IF(ROW()-17&lt;=$C$12,ROW()-17,"")</f>
        <v>16</v>
      </c>
      <c r="B33" s="24" t="n">
        <f aca="false">IF($A33="","",$C$6+($A33-1)*7)</f>
        <v>46371</v>
      </c>
      <c r="C33" s="24" t="n">
        <f aca="false">IF($A33="","",$C$6+$A33*7-1)</f>
        <v>46377</v>
      </c>
      <c r="D33" s="25" t="str">
        <f aca="false">IF($A33="","",IF($A33&lt;=$C$13,"1ª vuelta",IF($A33&lt;=$C$13+$C$8,"Repaso",IF($A33&lt;=$C$12,"Simulacros",""))))</f>
        <v>1ª vuelta</v>
      </c>
      <c r="E33" s="26" t="str">
        <f aca="false">IF($A33="","",IF($A33&lt;=$C$13,IF(($A33-1)*$C$14+1&gt;$C$7,"Margen / repaso voluntario","Temas "&amp;(($A33-1)*$C$14+1)&amp;" a "&amp;MIN($A33*$C$14,$C$7)),IF($A33&lt;=$C$13+$C$8,"Repaso general del temario","Simulacros + repaso de fallos")))</f>
        <v>Temas 31 a 32</v>
      </c>
      <c r="F33" s="27" t="s">
        <v>34</v>
      </c>
    </row>
    <row r="34" customFormat="false" ht="15" hidden="false" customHeight="false" outlineLevel="0" collapsed="false">
      <c r="A34" s="18" t="n">
        <f aca="false">IF(ROW()-17&lt;=$C$12,ROW()-17,"")</f>
        <v>17</v>
      </c>
      <c r="B34" s="19" t="n">
        <f aca="false">IF($A34="","",$C$6+($A34-1)*7)</f>
        <v>46378</v>
      </c>
      <c r="C34" s="19" t="n">
        <f aca="false">IF($A34="","",$C$6+$A34*7-1)</f>
        <v>46384</v>
      </c>
      <c r="D34" s="20" t="str">
        <f aca="false">IF($A34="","",IF($A34&lt;=$C$13,"1ª vuelta",IF($A34&lt;=$C$13+$C$8,"Repaso",IF($A34&lt;=$C$12,"Simulacros",""))))</f>
        <v>1ª vuelta</v>
      </c>
      <c r="E34" s="21" t="str">
        <f aca="false">IF($A34="","",IF($A34&lt;=$C$13,IF(($A34-1)*$C$14+1&gt;$C$7,"Margen / repaso voluntario","Temas "&amp;(($A34-1)*$C$14+1)&amp;" a "&amp;MIN($A34*$C$14,$C$7)),IF($A34&lt;=$C$13+$C$8,"Repaso general del temario","Simulacros + repaso de fallos")))</f>
        <v>Temas 33 a 34</v>
      </c>
      <c r="F34" s="22" t="s">
        <v>34</v>
      </c>
    </row>
    <row r="35" customFormat="false" ht="15" hidden="false" customHeight="false" outlineLevel="0" collapsed="false">
      <c r="A35" s="23" t="n">
        <f aca="false">IF(ROW()-17&lt;=$C$12,ROW()-17,"")</f>
        <v>18</v>
      </c>
      <c r="B35" s="24" t="n">
        <f aca="false">IF($A35="","",$C$6+($A35-1)*7)</f>
        <v>46385</v>
      </c>
      <c r="C35" s="24" t="n">
        <f aca="false">IF($A35="","",$C$6+$A35*7-1)</f>
        <v>46391</v>
      </c>
      <c r="D35" s="25" t="str">
        <f aca="false">IF($A35="","",IF($A35&lt;=$C$13,"1ª vuelta",IF($A35&lt;=$C$13+$C$8,"Repaso",IF($A35&lt;=$C$12,"Simulacros",""))))</f>
        <v>1ª vuelta</v>
      </c>
      <c r="E35" s="26" t="str">
        <f aca="false">IF($A35="","",IF($A35&lt;=$C$13,IF(($A35-1)*$C$14+1&gt;$C$7,"Margen / repaso voluntario","Temas "&amp;(($A35-1)*$C$14+1)&amp;" a "&amp;MIN($A35*$C$14,$C$7)),IF($A35&lt;=$C$13+$C$8,"Repaso general del temario","Simulacros + repaso de fallos")))</f>
        <v>Temas 35 a 36</v>
      </c>
      <c r="F35" s="27" t="s">
        <v>34</v>
      </c>
    </row>
    <row r="36" customFormat="false" ht="15" hidden="false" customHeight="false" outlineLevel="0" collapsed="false">
      <c r="A36" s="18" t="n">
        <f aca="false">IF(ROW()-17&lt;=$C$12,ROW()-17,"")</f>
        <v>19</v>
      </c>
      <c r="B36" s="19" t="n">
        <f aca="false">IF($A36="","",$C$6+($A36-1)*7)</f>
        <v>46392</v>
      </c>
      <c r="C36" s="19" t="n">
        <f aca="false">IF($A36="","",$C$6+$A36*7-1)</f>
        <v>46398</v>
      </c>
      <c r="D36" s="20" t="str">
        <f aca="false">IF($A36="","",IF($A36&lt;=$C$13,"1ª vuelta",IF($A36&lt;=$C$13+$C$8,"Repaso",IF($A36&lt;=$C$12,"Simulacros",""))))</f>
        <v>1ª vuelta</v>
      </c>
      <c r="E36" s="21" t="str">
        <f aca="false">IF($A36="","",IF($A36&lt;=$C$13,IF(($A36-1)*$C$14+1&gt;$C$7,"Margen / repaso voluntario","Temas "&amp;(($A36-1)*$C$14+1)&amp;" a "&amp;MIN($A36*$C$14,$C$7)),IF($A36&lt;=$C$13+$C$8,"Repaso general del temario","Simulacros + repaso de fallos")))</f>
        <v>Temas 37 a 38</v>
      </c>
      <c r="F36" s="22" t="s">
        <v>34</v>
      </c>
    </row>
    <row r="37" customFormat="false" ht="15" hidden="false" customHeight="false" outlineLevel="0" collapsed="false">
      <c r="A37" s="23" t="n">
        <f aca="false">IF(ROW()-17&lt;=$C$12,ROW()-17,"")</f>
        <v>20</v>
      </c>
      <c r="B37" s="24" t="n">
        <f aca="false">IF($A37="","",$C$6+($A37-1)*7)</f>
        <v>46399</v>
      </c>
      <c r="C37" s="24" t="n">
        <f aca="false">IF($A37="","",$C$6+$A37*7-1)</f>
        <v>46405</v>
      </c>
      <c r="D37" s="25" t="str">
        <f aca="false">IF($A37="","",IF($A37&lt;=$C$13,"1ª vuelta",IF($A37&lt;=$C$13+$C$8,"Repaso",IF($A37&lt;=$C$12,"Simulacros",""))))</f>
        <v>1ª vuelta</v>
      </c>
      <c r="E37" s="26" t="str">
        <f aca="false">IF($A37="","",IF($A37&lt;=$C$13,IF(($A37-1)*$C$14+1&gt;$C$7,"Margen / repaso voluntario","Temas "&amp;(($A37-1)*$C$14+1)&amp;" a "&amp;MIN($A37*$C$14,$C$7)),IF($A37&lt;=$C$13+$C$8,"Repaso general del temario","Simulacros + repaso de fallos")))</f>
        <v>Temas 39 a 40</v>
      </c>
      <c r="F37" s="27" t="s">
        <v>34</v>
      </c>
    </row>
    <row r="38" customFormat="false" ht="15" hidden="false" customHeight="false" outlineLevel="0" collapsed="false">
      <c r="A38" s="18" t="n">
        <f aca="false">IF(ROW()-17&lt;=$C$12,ROW()-17,"")</f>
        <v>21</v>
      </c>
      <c r="B38" s="19" t="n">
        <f aca="false">IF($A38="","",$C$6+($A38-1)*7)</f>
        <v>46406</v>
      </c>
      <c r="C38" s="19" t="n">
        <f aca="false">IF($A38="","",$C$6+$A38*7-1)</f>
        <v>46412</v>
      </c>
      <c r="D38" s="20" t="str">
        <f aca="false">IF($A38="","",IF($A38&lt;=$C$13,"1ª vuelta",IF($A38&lt;=$C$13+$C$8,"Repaso",IF($A38&lt;=$C$12,"Simulacros",""))))</f>
        <v>1ª vuelta</v>
      </c>
      <c r="E38" s="21" t="str">
        <f aca="false">IF($A38="","",IF($A38&lt;=$C$13,IF(($A38-1)*$C$14+1&gt;$C$7,"Margen / repaso voluntario","Temas "&amp;(($A38-1)*$C$14+1)&amp;" a "&amp;MIN($A38*$C$14,$C$7)),IF($A38&lt;=$C$13+$C$8,"Repaso general del temario","Simulacros + repaso de fallos")))</f>
        <v>Margen / repaso voluntario</v>
      </c>
      <c r="F38" s="22" t="s">
        <v>34</v>
      </c>
    </row>
    <row r="39" customFormat="false" ht="15" hidden="false" customHeight="false" outlineLevel="0" collapsed="false">
      <c r="A39" s="23" t="n">
        <f aca="false">IF(ROW()-17&lt;=$C$12,ROW()-17,"")</f>
        <v>22</v>
      </c>
      <c r="B39" s="24" t="n">
        <f aca="false">IF($A39="","",$C$6+($A39-1)*7)</f>
        <v>46413</v>
      </c>
      <c r="C39" s="24" t="n">
        <f aca="false">IF($A39="","",$C$6+$A39*7-1)</f>
        <v>46419</v>
      </c>
      <c r="D39" s="25" t="str">
        <f aca="false">IF($A39="","",IF($A39&lt;=$C$13,"1ª vuelta",IF($A39&lt;=$C$13+$C$8,"Repaso",IF($A39&lt;=$C$12,"Simulacros",""))))</f>
        <v>1ª vuelta</v>
      </c>
      <c r="E39" s="26" t="str">
        <f aca="false">IF($A39="","",IF($A39&lt;=$C$13,IF(($A39-1)*$C$14+1&gt;$C$7,"Margen / repaso voluntario","Temas "&amp;(($A39-1)*$C$14+1)&amp;" a "&amp;MIN($A39*$C$14,$C$7)),IF($A39&lt;=$C$13+$C$8,"Repaso general del temario","Simulacros + repaso de fallos")))</f>
        <v>Margen / repaso voluntario</v>
      </c>
      <c r="F39" s="27" t="s">
        <v>34</v>
      </c>
    </row>
    <row r="40" customFormat="false" ht="15" hidden="false" customHeight="false" outlineLevel="0" collapsed="false">
      <c r="A40" s="18" t="n">
        <f aca="false">IF(ROW()-17&lt;=$C$12,ROW()-17,"")</f>
        <v>23</v>
      </c>
      <c r="B40" s="19" t="n">
        <f aca="false">IF($A40="","",$C$6+($A40-1)*7)</f>
        <v>46420</v>
      </c>
      <c r="C40" s="19" t="n">
        <f aca="false">IF($A40="","",$C$6+$A40*7-1)</f>
        <v>46426</v>
      </c>
      <c r="D40" s="20" t="str">
        <f aca="false">IF($A40="","",IF($A40&lt;=$C$13,"1ª vuelta",IF($A40&lt;=$C$13+$C$8,"Repaso",IF($A40&lt;=$C$12,"Simulacros",""))))</f>
        <v>1ª vuelta</v>
      </c>
      <c r="E40" s="21" t="str">
        <f aca="false">IF($A40="","",IF($A40&lt;=$C$13,IF(($A40-1)*$C$14+1&gt;$C$7,"Margen / repaso voluntario","Temas "&amp;(($A40-1)*$C$14+1)&amp;" a "&amp;MIN($A40*$C$14,$C$7)),IF($A40&lt;=$C$13+$C$8,"Repaso general del temario","Simulacros + repaso de fallos")))</f>
        <v>Margen / repaso voluntario</v>
      </c>
      <c r="F40" s="22" t="s">
        <v>34</v>
      </c>
    </row>
    <row r="41" customFormat="false" ht="15" hidden="false" customHeight="false" outlineLevel="0" collapsed="false">
      <c r="A41" s="23" t="n">
        <f aca="false">IF(ROW()-17&lt;=$C$12,ROW()-17,"")</f>
        <v>24</v>
      </c>
      <c r="B41" s="24" t="n">
        <f aca="false">IF($A41="","",$C$6+($A41-1)*7)</f>
        <v>46427</v>
      </c>
      <c r="C41" s="24" t="n">
        <f aca="false">IF($A41="","",$C$6+$A41*7-1)</f>
        <v>46433</v>
      </c>
      <c r="D41" s="25" t="str">
        <f aca="false">IF($A41="","",IF($A41&lt;=$C$13,"1ª vuelta",IF($A41&lt;=$C$13+$C$8,"Repaso",IF($A41&lt;=$C$12,"Simulacros",""))))</f>
        <v>1ª vuelta</v>
      </c>
      <c r="E41" s="26" t="str">
        <f aca="false">IF($A41="","",IF($A41&lt;=$C$13,IF(($A41-1)*$C$14+1&gt;$C$7,"Margen / repaso voluntario","Temas "&amp;(($A41-1)*$C$14+1)&amp;" a "&amp;MIN($A41*$C$14,$C$7)),IF($A41&lt;=$C$13+$C$8,"Repaso general del temario","Simulacros + repaso de fallos")))</f>
        <v>Margen / repaso voluntario</v>
      </c>
      <c r="F41" s="27" t="s">
        <v>34</v>
      </c>
    </row>
    <row r="42" customFormat="false" ht="15" hidden="false" customHeight="false" outlineLevel="0" collapsed="false">
      <c r="A42" s="18" t="n">
        <f aca="false">IF(ROW()-17&lt;=$C$12,ROW()-17,"")</f>
        <v>25</v>
      </c>
      <c r="B42" s="19" t="n">
        <f aca="false">IF($A42="","",$C$6+($A42-1)*7)</f>
        <v>46434</v>
      </c>
      <c r="C42" s="19" t="n">
        <f aca="false">IF($A42="","",$C$6+$A42*7-1)</f>
        <v>46440</v>
      </c>
      <c r="D42" s="20" t="str">
        <f aca="false">IF($A42="","",IF($A42&lt;=$C$13,"1ª vuelta",IF($A42&lt;=$C$13+$C$8,"Repaso",IF($A42&lt;=$C$12,"Simulacros",""))))</f>
        <v>1ª vuelta</v>
      </c>
      <c r="E42" s="21" t="str">
        <f aca="false">IF($A42="","",IF($A42&lt;=$C$13,IF(($A42-1)*$C$14+1&gt;$C$7,"Margen / repaso voluntario","Temas "&amp;(($A42-1)*$C$14+1)&amp;" a "&amp;MIN($A42*$C$14,$C$7)),IF($A42&lt;=$C$13+$C$8,"Repaso general del temario","Simulacros + repaso de fallos")))</f>
        <v>Margen / repaso voluntario</v>
      </c>
      <c r="F42" s="22" t="s">
        <v>34</v>
      </c>
    </row>
    <row r="43" customFormat="false" ht="15" hidden="false" customHeight="false" outlineLevel="0" collapsed="false">
      <c r="A43" s="23" t="n">
        <f aca="false">IF(ROW()-17&lt;=$C$12,ROW()-17,"")</f>
        <v>26</v>
      </c>
      <c r="B43" s="24" t="n">
        <f aca="false">IF($A43="","",$C$6+($A43-1)*7)</f>
        <v>46441</v>
      </c>
      <c r="C43" s="24" t="n">
        <f aca="false">IF($A43="","",$C$6+$A43*7-1)</f>
        <v>46447</v>
      </c>
      <c r="D43" s="25" t="str">
        <f aca="false">IF($A43="","",IF($A43&lt;=$C$13,"1ª vuelta",IF($A43&lt;=$C$13+$C$8,"Repaso",IF($A43&lt;=$C$12,"Simulacros",""))))</f>
        <v>1ª vuelta</v>
      </c>
      <c r="E43" s="26" t="str">
        <f aca="false">IF($A43="","",IF($A43&lt;=$C$13,IF(($A43-1)*$C$14+1&gt;$C$7,"Margen / repaso voluntario","Temas "&amp;(($A43-1)*$C$14+1)&amp;" a "&amp;MIN($A43*$C$14,$C$7)),IF($A43&lt;=$C$13+$C$8,"Repaso general del temario","Simulacros + repaso de fallos")))</f>
        <v>Margen / repaso voluntario</v>
      </c>
      <c r="F43" s="27" t="s">
        <v>34</v>
      </c>
    </row>
    <row r="44" customFormat="false" ht="15" hidden="false" customHeight="false" outlineLevel="0" collapsed="false">
      <c r="A44" s="18" t="n">
        <f aca="false">IF(ROW()-17&lt;=$C$12,ROW()-17,"")</f>
        <v>27</v>
      </c>
      <c r="B44" s="19" t="n">
        <f aca="false">IF($A44="","",$C$6+($A44-1)*7)</f>
        <v>46448</v>
      </c>
      <c r="C44" s="19" t="n">
        <f aca="false">IF($A44="","",$C$6+$A44*7-1)</f>
        <v>46454</v>
      </c>
      <c r="D44" s="20" t="str">
        <f aca="false">IF($A44="","",IF($A44&lt;=$C$13,"1ª vuelta",IF($A44&lt;=$C$13+$C$8,"Repaso",IF($A44&lt;=$C$12,"Simulacros",""))))</f>
        <v>1ª vuelta</v>
      </c>
      <c r="E44" s="21" t="str">
        <f aca="false">IF($A44="","",IF($A44&lt;=$C$13,IF(($A44-1)*$C$14+1&gt;$C$7,"Margen / repaso voluntario","Temas "&amp;(($A44-1)*$C$14+1)&amp;" a "&amp;MIN($A44*$C$14,$C$7)),IF($A44&lt;=$C$13+$C$8,"Repaso general del temario","Simulacros + repaso de fallos")))</f>
        <v>Margen / repaso voluntario</v>
      </c>
      <c r="F44" s="22" t="s">
        <v>34</v>
      </c>
    </row>
    <row r="45" customFormat="false" ht="15" hidden="false" customHeight="false" outlineLevel="0" collapsed="false">
      <c r="A45" s="23" t="n">
        <f aca="false">IF(ROW()-17&lt;=$C$12,ROW()-17,"")</f>
        <v>28</v>
      </c>
      <c r="B45" s="24" t="n">
        <f aca="false">IF($A45="","",$C$6+($A45-1)*7)</f>
        <v>46455</v>
      </c>
      <c r="C45" s="24" t="n">
        <f aca="false">IF($A45="","",$C$6+$A45*7-1)</f>
        <v>46461</v>
      </c>
      <c r="D45" s="25" t="str">
        <f aca="false">IF($A45="","",IF($A45&lt;=$C$13,"1ª vuelta",IF($A45&lt;=$C$13+$C$8,"Repaso",IF($A45&lt;=$C$12,"Simulacros",""))))</f>
        <v>1ª vuelta</v>
      </c>
      <c r="E45" s="26" t="str">
        <f aca="false">IF($A45="","",IF($A45&lt;=$C$13,IF(($A45-1)*$C$14+1&gt;$C$7,"Margen / repaso voluntario","Temas "&amp;(($A45-1)*$C$14+1)&amp;" a "&amp;MIN($A45*$C$14,$C$7)),IF($A45&lt;=$C$13+$C$8,"Repaso general del temario","Simulacros + repaso de fallos")))</f>
        <v>Margen / repaso voluntario</v>
      </c>
      <c r="F45" s="27" t="s">
        <v>34</v>
      </c>
    </row>
    <row r="46" customFormat="false" ht="15" hidden="false" customHeight="false" outlineLevel="0" collapsed="false">
      <c r="A46" s="18" t="n">
        <f aca="false">IF(ROW()-17&lt;=$C$12,ROW()-17,"")</f>
        <v>29</v>
      </c>
      <c r="B46" s="19" t="n">
        <f aca="false">IF($A46="","",$C$6+($A46-1)*7)</f>
        <v>46462</v>
      </c>
      <c r="C46" s="19" t="n">
        <f aca="false">IF($A46="","",$C$6+$A46*7-1)</f>
        <v>46468</v>
      </c>
      <c r="D46" s="20" t="str">
        <f aca="false">IF($A46="","",IF($A46&lt;=$C$13,"1ª vuelta",IF($A46&lt;=$C$13+$C$8,"Repaso",IF($A46&lt;=$C$12,"Simulacros",""))))</f>
        <v>Repaso</v>
      </c>
      <c r="E46" s="21" t="str">
        <f aca="false">IF($A46="","",IF($A46&lt;=$C$13,IF(($A46-1)*$C$14+1&gt;$C$7,"Margen / repaso voluntario","Temas "&amp;(($A46-1)*$C$14+1)&amp;" a "&amp;MIN($A46*$C$14,$C$7)),IF($A46&lt;=$C$13+$C$8,"Repaso general del temario","Simulacros + repaso de fallos")))</f>
        <v>Repaso general del temario</v>
      </c>
      <c r="F46" s="22" t="s">
        <v>34</v>
      </c>
    </row>
    <row r="47" customFormat="false" ht="15" hidden="false" customHeight="false" outlineLevel="0" collapsed="false">
      <c r="A47" s="23" t="n">
        <f aca="false">IF(ROW()-17&lt;=$C$12,ROW()-17,"")</f>
        <v>30</v>
      </c>
      <c r="B47" s="24" t="n">
        <f aca="false">IF($A47="","",$C$6+($A47-1)*7)</f>
        <v>46469</v>
      </c>
      <c r="C47" s="24" t="n">
        <f aca="false">IF($A47="","",$C$6+$A47*7-1)</f>
        <v>46475</v>
      </c>
      <c r="D47" s="25" t="str">
        <f aca="false">IF($A47="","",IF($A47&lt;=$C$13,"1ª vuelta",IF($A47&lt;=$C$13+$C$8,"Repaso",IF($A47&lt;=$C$12,"Simulacros",""))))</f>
        <v>Repaso</v>
      </c>
      <c r="E47" s="26" t="str">
        <f aca="false">IF($A47="","",IF($A47&lt;=$C$13,IF(($A47-1)*$C$14+1&gt;$C$7,"Margen / repaso voluntario","Temas "&amp;(($A47-1)*$C$14+1)&amp;" a "&amp;MIN($A47*$C$14,$C$7)),IF($A47&lt;=$C$13+$C$8,"Repaso general del temario","Simulacros + repaso de fallos")))</f>
        <v>Repaso general del temario</v>
      </c>
      <c r="F47" s="27" t="s">
        <v>34</v>
      </c>
    </row>
    <row r="48" customFormat="false" ht="15" hidden="false" customHeight="false" outlineLevel="0" collapsed="false">
      <c r="A48" s="18" t="n">
        <f aca="false">IF(ROW()-17&lt;=$C$12,ROW()-17,"")</f>
        <v>31</v>
      </c>
      <c r="B48" s="19" t="n">
        <f aca="false">IF($A48="","",$C$6+($A48-1)*7)</f>
        <v>46476</v>
      </c>
      <c r="C48" s="19" t="n">
        <f aca="false">IF($A48="","",$C$6+$A48*7-1)</f>
        <v>46482</v>
      </c>
      <c r="D48" s="20" t="str">
        <f aca="false">IF($A48="","",IF($A48&lt;=$C$13,"1ª vuelta",IF($A48&lt;=$C$13+$C$8,"Repaso",IF($A48&lt;=$C$12,"Simulacros",""))))</f>
        <v>Repaso</v>
      </c>
      <c r="E48" s="21" t="str">
        <f aca="false">IF($A48="","",IF($A48&lt;=$C$13,IF(($A48-1)*$C$14+1&gt;$C$7,"Margen / repaso voluntario","Temas "&amp;(($A48-1)*$C$14+1)&amp;" a "&amp;MIN($A48*$C$14,$C$7)),IF($A48&lt;=$C$13+$C$8,"Repaso general del temario","Simulacros + repaso de fallos")))</f>
        <v>Repaso general del temario</v>
      </c>
      <c r="F48" s="22" t="s">
        <v>34</v>
      </c>
    </row>
    <row r="49" customFormat="false" ht="15" hidden="false" customHeight="false" outlineLevel="0" collapsed="false">
      <c r="A49" s="23" t="n">
        <f aca="false">IF(ROW()-17&lt;=$C$12,ROW()-17,"")</f>
        <v>32</v>
      </c>
      <c r="B49" s="24" t="n">
        <f aca="false">IF($A49="","",$C$6+($A49-1)*7)</f>
        <v>46483</v>
      </c>
      <c r="C49" s="24" t="n">
        <f aca="false">IF($A49="","",$C$6+$A49*7-1)</f>
        <v>46489</v>
      </c>
      <c r="D49" s="25" t="str">
        <f aca="false">IF($A49="","",IF($A49&lt;=$C$13,"1ª vuelta",IF($A49&lt;=$C$13+$C$8,"Repaso",IF($A49&lt;=$C$12,"Simulacros",""))))</f>
        <v>Repaso</v>
      </c>
      <c r="E49" s="26" t="str">
        <f aca="false">IF($A49="","",IF($A49&lt;=$C$13,IF(($A49-1)*$C$14+1&gt;$C$7,"Margen / repaso voluntario","Temas "&amp;(($A49-1)*$C$14+1)&amp;" a "&amp;MIN($A49*$C$14,$C$7)),IF($A49&lt;=$C$13+$C$8,"Repaso general del temario","Simulacros + repaso de fallos")))</f>
        <v>Repaso general del temario</v>
      </c>
      <c r="F49" s="27" t="s">
        <v>34</v>
      </c>
    </row>
    <row r="50" customFormat="false" ht="15" hidden="false" customHeight="false" outlineLevel="0" collapsed="false">
      <c r="A50" s="18" t="n">
        <f aca="false">IF(ROW()-17&lt;=$C$12,ROW()-17,"")</f>
        <v>33</v>
      </c>
      <c r="B50" s="19" t="n">
        <f aca="false">IF($A50="","",$C$6+($A50-1)*7)</f>
        <v>46490</v>
      </c>
      <c r="C50" s="19" t="n">
        <f aca="false">IF($A50="","",$C$6+$A50*7-1)</f>
        <v>46496</v>
      </c>
      <c r="D50" s="20" t="str">
        <f aca="false">IF($A50="","",IF($A50&lt;=$C$13,"1ª vuelta",IF($A50&lt;=$C$13+$C$8,"Repaso",IF($A50&lt;=$C$12,"Simulacros",""))))</f>
        <v>Simulacros</v>
      </c>
      <c r="E50" s="21" t="str">
        <f aca="false">IF($A50="","",IF($A50&lt;=$C$13,IF(($A50-1)*$C$14+1&gt;$C$7,"Margen / repaso voluntario","Temas "&amp;(($A50-1)*$C$14+1)&amp;" a "&amp;MIN($A50*$C$14,$C$7)),IF($A50&lt;=$C$13+$C$8,"Repaso general del temario","Simulacros + repaso de fallos")))</f>
        <v>Simulacros + repaso de fallos</v>
      </c>
      <c r="F50" s="22" t="s">
        <v>34</v>
      </c>
    </row>
    <row r="51" customFormat="false" ht="15" hidden="false" customHeight="false" outlineLevel="0" collapsed="false">
      <c r="A51" s="23" t="n">
        <f aca="false">IF(ROW()-17&lt;=$C$12,ROW()-17,"")</f>
        <v>34</v>
      </c>
      <c r="B51" s="24" t="n">
        <f aca="false">IF($A51="","",$C$6+($A51-1)*7)</f>
        <v>46497</v>
      </c>
      <c r="C51" s="24" t="n">
        <f aca="false">IF($A51="","",$C$6+$A51*7-1)</f>
        <v>46503</v>
      </c>
      <c r="D51" s="25" t="str">
        <f aca="false">IF($A51="","",IF($A51&lt;=$C$13,"1ª vuelta",IF($A51&lt;=$C$13+$C$8,"Repaso",IF($A51&lt;=$C$12,"Simulacros",""))))</f>
        <v>Simulacros</v>
      </c>
      <c r="E51" s="26" t="str">
        <f aca="false">IF($A51="","",IF($A51&lt;=$C$13,IF(($A51-1)*$C$14+1&gt;$C$7,"Margen / repaso voluntario","Temas "&amp;(($A51-1)*$C$14+1)&amp;" a "&amp;MIN($A51*$C$14,$C$7)),IF($A51&lt;=$C$13+$C$8,"Repaso general del temario","Simulacros + repaso de fallos")))</f>
        <v>Simulacros + repaso de fallos</v>
      </c>
      <c r="F51" s="27" t="s">
        <v>34</v>
      </c>
    </row>
    <row r="52" customFormat="false" ht="15" hidden="false" customHeight="false" outlineLevel="0" collapsed="false">
      <c r="A52" s="18" t="n">
        <f aca="false">IF(ROW()-17&lt;=$C$12,ROW()-17,"")</f>
        <v>35</v>
      </c>
      <c r="B52" s="19" t="n">
        <f aca="false">IF($A52="","",$C$6+($A52-1)*7)</f>
        <v>46504</v>
      </c>
      <c r="C52" s="19" t="n">
        <f aca="false">IF($A52="","",$C$6+$A52*7-1)</f>
        <v>46510</v>
      </c>
      <c r="D52" s="20" t="str">
        <f aca="false">IF($A52="","",IF($A52&lt;=$C$13,"1ª vuelta",IF($A52&lt;=$C$13+$C$8,"Repaso",IF($A52&lt;=$C$12,"Simulacros",""))))</f>
        <v>Simulacros</v>
      </c>
      <c r="E52" s="21" t="str">
        <f aca="false">IF($A52="","",IF($A52&lt;=$C$13,IF(($A52-1)*$C$14+1&gt;$C$7,"Margen / repaso voluntario","Temas "&amp;(($A52-1)*$C$14+1)&amp;" a "&amp;MIN($A52*$C$14,$C$7)),IF($A52&lt;=$C$13+$C$8,"Repaso general del temario","Simulacros + repaso de fallos")))</f>
        <v>Simulacros + repaso de fallos</v>
      </c>
      <c r="F52" s="22" t="s">
        <v>34</v>
      </c>
    </row>
    <row r="53" customFormat="false" ht="15" hidden="false" customHeight="false" outlineLevel="0" collapsed="false">
      <c r="A53" s="23" t="n">
        <f aca="false">IF(ROW()-17&lt;=$C$12,ROW()-17,"")</f>
        <v>36</v>
      </c>
      <c r="B53" s="24" t="n">
        <f aca="false">IF($A53="","",$C$6+($A53-1)*7)</f>
        <v>46511</v>
      </c>
      <c r="C53" s="24" t="n">
        <f aca="false">IF($A53="","",$C$6+$A53*7-1)</f>
        <v>46517</v>
      </c>
      <c r="D53" s="25" t="str">
        <f aca="false">IF($A53="","",IF($A53&lt;=$C$13,"1ª vuelta",IF($A53&lt;=$C$13+$C$8,"Repaso",IF($A53&lt;=$C$12,"Simulacros",""))))</f>
        <v>Simulacros</v>
      </c>
      <c r="E53" s="26" t="str">
        <f aca="false">IF($A53="","",IF($A53&lt;=$C$13,IF(($A53-1)*$C$14+1&gt;$C$7,"Margen / repaso voluntario","Temas "&amp;(($A53-1)*$C$14+1)&amp;" a "&amp;MIN($A53*$C$14,$C$7)),IF($A53&lt;=$C$13+$C$8,"Repaso general del temario","Simulacros + repaso de fallos")))</f>
        <v>Simulacros + repaso de fallos</v>
      </c>
      <c r="F53" s="27" t="s">
        <v>34</v>
      </c>
    </row>
    <row r="54" customFormat="false" ht="15" hidden="false" customHeight="false" outlineLevel="0" collapsed="false">
      <c r="A54" s="18" t="str">
        <f aca="false">IF(ROW()-17&lt;=$C$12,ROW()-17,"")</f>
        <v/>
      </c>
      <c r="B54" s="19" t="str">
        <f aca="false">IF($A54="","",$C$6+($A54-1)*7)</f>
        <v/>
      </c>
      <c r="C54" s="19" t="str">
        <f aca="false">IF($A54="","",$C$6+$A54*7-1)</f>
        <v/>
      </c>
      <c r="D54" s="20" t="str">
        <f aca="false">IF($A54="","",IF($A54&lt;=$C$13,"1ª vuelta",IF($A54&lt;=$C$13+$C$8,"Repaso",IF($A54&lt;=$C$12,"Simulacros",""))))</f>
        <v/>
      </c>
      <c r="E54" s="21" t="str">
        <f aca="false">IF($A54="","",IF($A54&lt;=$C$13,IF(($A54-1)*$C$14+1&gt;$C$7,"Margen / repaso voluntario","Temas "&amp;(($A54-1)*$C$14+1)&amp;" a "&amp;MIN($A54*$C$14,$C$7)),IF($A54&lt;=$C$13+$C$8,"Repaso general del temario","Simulacros + repaso de fallos")))</f>
        <v/>
      </c>
      <c r="F54" s="22" t="s">
        <v>34</v>
      </c>
    </row>
    <row r="55" customFormat="false" ht="15" hidden="false" customHeight="false" outlineLevel="0" collapsed="false">
      <c r="A55" s="23" t="str">
        <f aca="false">IF(ROW()-17&lt;=$C$12,ROW()-17,"")</f>
        <v/>
      </c>
      <c r="B55" s="24" t="str">
        <f aca="false">IF($A55="","",$C$6+($A55-1)*7)</f>
        <v/>
      </c>
      <c r="C55" s="24" t="str">
        <f aca="false">IF($A55="","",$C$6+$A55*7-1)</f>
        <v/>
      </c>
      <c r="D55" s="25" t="str">
        <f aca="false">IF($A55="","",IF($A55&lt;=$C$13,"1ª vuelta",IF($A55&lt;=$C$13+$C$8,"Repaso",IF($A55&lt;=$C$12,"Simulacros",""))))</f>
        <v/>
      </c>
      <c r="E55" s="26" t="str">
        <f aca="false">IF($A55="","",IF($A55&lt;=$C$13,IF(($A55-1)*$C$14+1&gt;$C$7,"Margen / repaso voluntario","Temas "&amp;(($A55-1)*$C$14+1)&amp;" a "&amp;MIN($A55*$C$14,$C$7)),IF($A55&lt;=$C$13+$C$8,"Repaso general del temario","Simulacros + repaso de fallos")))</f>
        <v/>
      </c>
      <c r="F55" s="27" t="s">
        <v>34</v>
      </c>
    </row>
    <row r="56" customFormat="false" ht="15" hidden="false" customHeight="false" outlineLevel="0" collapsed="false">
      <c r="A56" s="18" t="str">
        <f aca="false">IF(ROW()-17&lt;=$C$12,ROW()-17,"")</f>
        <v/>
      </c>
      <c r="B56" s="19" t="str">
        <f aca="false">IF($A56="","",$C$6+($A56-1)*7)</f>
        <v/>
      </c>
      <c r="C56" s="19" t="str">
        <f aca="false">IF($A56="","",$C$6+$A56*7-1)</f>
        <v/>
      </c>
      <c r="D56" s="20" t="str">
        <f aca="false">IF($A56="","",IF($A56&lt;=$C$13,"1ª vuelta",IF($A56&lt;=$C$13+$C$8,"Repaso",IF($A56&lt;=$C$12,"Simulacros",""))))</f>
        <v/>
      </c>
      <c r="E56" s="21" t="str">
        <f aca="false">IF($A56="","",IF($A56&lt;=$C$13,IF(($A56-1)*$C$14+1&gt;$C$7,"Margen / repaso voluntario","Temas "&amp;(($A56-1)*$C$14+1)&amp;" a "&amp;MIN($A56*$C$14,$C$7)),IF($A56&lt;=$C$13+$C$8,"Repaso general del temario","Simulacros + repaso de fallos")))</f>
        <v/>
      </c>
      <c r="F56" s="22" t="s">
        <v>34</v>
      </c>
    </row>
    <row r="57" customFormat="false" ht="15" hidden="false" customHeight="false" outlineLevel="0" collapsed="false">
      <c r="A57" s="23" t="str">
        <f aca="false">IF(ROW()-17&lt;=$C$12,ROW()-17,"")</f>
        <v/>
      </c>
      <c r="B57" s="24" t="str">
        <f aca="false">IF($A57="","",$C$6+($A57-1)*7)</f>
        <v/>
      </c>
      <c r="C57" s="24" t="str">
        <f aca="false">IF($A57="","",$C$6+$A57*7-1)</f>
        <v/>
      </c>
      <c r="D57" s="25" t="str">
        <f aca="false">IF($A57="","",IF($A57&lt;=$C$13,"1ª vuelta",IF($A57&lt;=$C$13+$C$8,"Repaso",IF($A57&lt;=$C$12,"Simulacros",""))))</f>
        <v/>
      </c>
      <c r="E57" s="26" t="str">
        <f aca="false">IF($A57="","",IF($A57&lt;=$C$13,IF(($A57-1)*$C$14+1&gt;$C$7,"Margen / repaso voluntario","Temas "&amp;(($A57-1)*$C$14+1)&amp;" a "&amp;MIN($A57*$C$14,$C$7)),IF($A57&lt;=$C$13+$C$8,"Repaso general del temario","Simulacros + repaso de fallos")))</f>
        <v/>
      </c>
      <c r="F57" s="27" t="s">
        <v>34</v>
      </c>
    </row>
  </sheetData>
  <mergeCells count="11">
    <mergeCell ref="A1:F1"/>
    <mergeCell ref="A2:F2"/>
    <mergeCell ref="A5:B5"/>
    <mergeCell ref="A6:B6"/>
    <mergeCell ref="A7:B7"/>
    <mergeCell ref="A8:B8"/>
    <mergeCell ref="A9:B9"/>
    <mergeCell ref="A12:B12"/>
    <mergeCell ref="A13:B13"/>
    <mergeCell ref="A14:B14"/>
    <mergeCell ref="A15:B15"/>
  </mergeCells>
  <conditionalFormatting sqref="D18:D57">
    <cfRule type="expression" priority="2" aboveAverage="0" equalAverage="0" bottom="0" percent="0" rank="0" text="" dxfId="0">
      <formula>$D18="1ª vuelta"</formula>
    </cfRule>
    <cfRule type="expression" priority="3" aboveAverage="0" equalAverage="0" bottom="0" percent="0" rank="0" text="" dxfId="1">
      <formula>$D18="Repaso"</formula>
    </cfRule>
    <cfRule type="expression" priority="4" aboveAverage="0" equalAverage="0" bottom="0" percent="0" rank="0" text="" dxfId="2">
      <formula>$D18="Simulacros"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30"/>
  </cols>
  <sheetData>
    <row r="1" customFormat="false" ht="31.5" hidden="false" customHeight="true" outlineLevel="0" collapsed="false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8" hidden="false" customHeight="true" outlineLevel="0" collapsed="false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false" outlineLevel="0" collapsed="false">
      <c r="A4" s="5" t="s">
        <v>37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28" t="s">
        <v>38</v>
      </c>
      <c r="B5" s="29" t="n">
        <f aca="false">COUNT(C8:C47)</f>
        <v>2</v>
      </c>
      <c r="D5" s="28" t="s">
        <v>39</v>
      </c>
      <c r="E5" s="29" t="n">
        <f aca="false">COUNTIF(I8:I47,"Dominado")</f>
        <v>0</v>
      </c>
      <c r="G5" s="28" t="s">
        <v>40</v>
      </c>
      <c r="H5" s="29" t="n">
        <f aca="false">COUNTIF(H8:H47,"⚠ HOY")</f>
        <v>2</v>
      </c>
    </row>
    <row r="7" customFormat="false" ht="27.75" hidden="false" customHeight="true" outlineLevel="0" collapsed="false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46</v>
      </c>
      <c r="G7" s="30" t="s">
        <v>47</v>
      </c>
      <c r="H7" s="30" t="s">
        <v>48</v>
      </c>
      <c r="I7" s="30" t="s">
        <v>49</v>
      </c>
      <c r="J7" s="30" t="s">
        <v>50</v>
      </c>
    </row>
    <row r="8" customFormat="false" ht="15" hidden="false" customHeight="false" outlineLevel="0" collapsed="false">
      <c r="A8" s="18" t="n">
        <v>1</v>
      </c>
      <c r="B8" s="21" t="s">
        <v>51</v>
      </c>
      <c r="C8" s="19" t="n">
        <v>46201</v>
      </c>
      <c r="D8" s="31" t="n">
        <f aca="false">IF($C8="","",$C8+1)</f>
        <v>46202</v>
      </c>
      <c r="E8" s="31" t="n">
        <f aca="false">IF($C8="","",$C8+7)</f>
        <v>46208</v>
      </c>
      <c r="F8" s="31" t="n">
        <f aca="false">IF($C8="","",$C8+30)</f>
        <v>46231</v>
      </c>
      <c r="G8" s="19" t="n">
        <f aca="true">IF($C8="","",IF(TODAY()&lt;=$C8+1,$C8+1,IF(TODAY()&lt;=$C8+7,$C8+7,IF(TODAY()&lt;=$C8+30,$C8+30,"✓ Completado"))))</f>
        <v>46202</v>
      </c>
      <c r="H8" s="20" t="str">
        <f aca="true">IF($C8="","",IF(ISNUMBER($G8),IF($G8&lt;=TODAY(),"⚠ HOY",IF($G8&lt;=TODAY()+2,"Pronto","")),""))</f>
        <v>⚠ HOY</v>
      </c>
      <c r="I8" s="32"/>
      <c r="J8" s="21"/>
    </row>
    <row r="9" customFormat="false" ht="15" hidden="false" customHeight="false" outlineLevel="0" collapsed="false">
      <c r="A9" s="23" t="n">
        <v>2</v>
      </c>
      <c r="B9" s="26" t="s">
        <v>52</v>
      </c>
      <c r="C9" s="24" t="n">
        <v>46195</v>
      </c>
      <c r="D9" s="33" t="n">
        <f aca="false">IF($C9="","",$C9+1)</f>
        <v>46196</v>
      </c>
      <c r="E9" s="33" t="n">
        <f aca="false">IF($C9="","",$C9+7)</f>
        <v>46202</v>
      </c>
      <c r="F9" s="33" t="n">
        <f aca="false">IF($C9="","",$C9+30)</f>
        <v>46225</v>
      </c>
      <c r="G9" s="24" t="n">
        <f aca="true">IF($C9="","",IF(TODAY()&lt;=$C9+1,$C9+1,IF(TODAY()&lt;=$C9+7,$C9+7,IF(TODAY()&lt;=$C9+30,$C9+30,"✓ Completado"))))</f>
        <v>46202</v>
      </c>
      <c r="H9" s="25" t="str">
        <f aca="true">IF($C9="","",IF(ISNUMBER($G9),IF($G9&lt;=TODAY(),"⚠ HOY",IF($G9&lt;=TODAY()+2,"Pronto","")),""))</f>
        <v>⚠ HOY</v>
      </c>
      <c r="I9" s="25"/>
      <c r="J9" s="26"/>
    </row>
    <row r="10" customFormat="false" ht="15" hidden="false" customHeight="false" outlineLevel="0" collapsed="false">
      <c r="A10" s="18" t="n">
        <v>3</v>
      </c>
      <c r="B10" s="21" t="s">
        <v>53</v>
      </c>
      <c r="C10" s="14"/>
      <c r="D10" s="31" t="str">
        <f aca="false">IF($C10="","",$C10+1)</f>
        <v/>
      </c>
      <c r="E10" s="31" t="str">
        <f aca="false">IF($C10="","",$C10+7)</f>
        <v/>
      </c>
      <c r="F10" s="31" t="str">
        <f aca="false">IF($C10="","",$C10+30)</f>
        <v/>
      </c>
      <c r="G10" s="19" t="str">
        <f aca="true">IF($C10="","",IF(TODAY()&lt;=$C10+1,$C10+1,IF(TODAY()&lt;=$C10+7,$C10+7,IF(TODAY()&lt;=$C10+30,$C10+30,"✓ Completado"))))</f>
        <v/>
      </c>
      <c r="H10" s="20" t="str">
        <f aca="true">IF($C10="","",IF(ISNUMBER($G10),IF($G10&lt;=TODAY(),"⚠ HOY",IF($G10&lt;=TODAY()+2,"Pronto","")),""))</f>
        <v/>
      </c>
      <c r="I10" s="32"/>
      <c r="J10" s="21"/>
    </row>
    <row r="11" customFormat="false" ht="15" hidden="false" customHeight="false" outlineLevel="0" collapsed="false">
      <c r="A11" s="23" t="n">
        <v>4</v>
      </c>
      <c r="B11" s="26" t="s">
        <v>54</v>
      </c>
      <c r="C11" s="14"/>
      <c r="D11" s="33" t="str">
        <f aca="false">IF($C11="","",$C11+1)</f>
        <v/>
      </c>
      <c r="E11" s="33" t="str">
        <f aca="false">IF($C11="","",$C11+7)</f>
        <v/>
      </c>
      <c r="F11" s="33" t="str">
        <f aca="false">IF($C11="","",$C11+30)</f>
        <v/>
      </c>
      <c r="G11" s="24" t="str">
        <f aca="true">IF($C11="","",IF(TODAY()&lt;=$C11+1,$C11+1,IF(TODAY()&lt;=$C11+7,$C11+7,IF(TODAY()&lt;=$C11+30,$C11+30,"✓ Completado"))))</f>
        <v/>
      </c>
      <c r="H11" s="25" t="str">
        <f aca="true">IF($C11="","",IF(ISNUMBER($G11),IF($G11&lt;=TODAY(),"⚠ HOY",IF($G11&lt;=TODAY()+2,"Pronto","")),""))</f>
        <v/>
      </c>
      <c r="I11" s="25"/>
      <c r="J11" s="26"/>
    </row>
    <row r="12" customFormat="false" ht="15" hidden="false" customHeight="false" outlineLevel="0" collapsed="false">
      <c r="A12" s="18" t="n">
        <v>5</v>
      </c>
      <c r="B12" s="21" t="s">
        <v>55</v>
      </c>
      <c r="C12" s="14"/>
      <c r="D12" s="31" t="str">
        <f aca="false">IF($C12="","",$C12+1)</f>
        <v/>
      </c>
      <c r="E12" s="31" t="str">
        <f aca="false">IF($C12="","",$C12+7)</f>
        <v/>
      </c>
      <c r="F12" s="31" t="str">
        <f aca="false">IF($C12="","",$C12+30)</f>
        <v/>
      </c>
      <c r="G12" s="19" t="str">
        <f aca="true">IF($C12="","",IF(TODAY()&lt;=$C12+1,$C12+1,IF(TODAY()&lt;=$C12+7,$C12+7,IF(TODAY()&lt;=$C12+30,$C12+30,"✓ Completado"))))</f>
        <v/>
      </c>
      <c r="H12" s="20" t="str">
        <f aca="true">IF($C12="","",IF(ISNUMBER($G12),IF($G12&lt;=TODAY(),"⚠ HOY",IF($G12&lt;=TODAY()+2,"Pronto","")),""))</f>
        <v/>
      </c>
      <c r="I12" s="32"/>
      <c r="J12" s="21"/>
    </row>
    <row r="13" customFormat="false" ht="15" hidden="false" customHeight="false" outlineLevel="0" collapsed="false">
      <c r="A13" s="23" t="n">
        <v>6</v>
      </c>
      <c r="B13" s="26" t="s">
        <v>56</v>
      </c>
      <c r="C13" s="14"/>
      <c r="D13" s="33" t="str">
        <f aca="false">IF($C13="","",$C13+1)</f>
        <v/>
      </c>
      <c r="E13" s="33" t="str">
        <f aca="false">IF($C13="","",$C13+7)</f>
        <v/>
      </c>
      <c r="F13" s="33" t="str">
        <f aca="false">IF($C13="","",$C13+30)</f>
        <v/>
      </c>
      <c r="G13" s="24" t="str">
        <f aca="true">IF($C13="","",IF(TODAY()&lt;=$C13+1,$C13+1,IF(TODAY()&lt;=$C13+7,$C13+7,IF(TODAY()&lt;=$C13+30,$C13+30,"✓ Completado"))))</f>
        <v/>
      </c>
      <c r="H13" s="25" t="str">
        <f aca="true">IF($C13="","",IF(ISNUMBER($G13),IF($G13&lt;=TODAY(),"⚠ HOY",IF($G13&lt;=TODAY()+2,"Pronto","")),""))</f>
        <v/>
      </c>
      <c r="I13" s="25"/>
      <c r="J13" s="26"/>
    </row>
    <row r="14" customFormat="false" ht="15" hidden="false" customHeight="false" outlineLevel="0" collapsed="false">
      <c r="A14" s="18" t="n">
        <v>7</v>
      </c>
      <c r="B14" s="21" t="s">
        <v>57</v>
      </c>
      <c r="C14" s="14"/>
      <c r="D14" s="31" t="str">
        <f aca="false">IF($C14="","",$C14+1)</f>
        <v/>
      </c>
      <c r="E14" s="31" t="str">
        <f aca="false">IF($C14="","",$C14+7)</f>
        <v/>
      </c>
      <c r="F14" s="31" t="str">
        <f aca="false">IF($C14="","",$C14+30)</f>
        <v/>
      </c>
      <c r="G14" s="19" t="str">
        <f aca="true">IF($C14="","",IF(TODAY()&lt;=$C14+1,$C14+1,IF(TODAY()&lt;=$C14+7,$C14+7,IF(TODAY()&lt;=$C14+30,$C14+30,"✓ Completado"))))</f>
        <v/>
      </c>
      <c r="H14" s="20" t="str">
        <f aca="true">IF($C14="","",IF(ISNUMBER($G14),IF($G14&lt;=TODAY(),"⚠ HOY",IF($G14&lt;=TODAY()+2,"Pronto","")),""))</f>
        <v/>
      </c>
      <c r="I14" s="32"/>
      <c r="J14" s="21"/>
    </row>
    <row r="15" customFormat="false" ht="15" hidden="false" customHeight="false" outlineLevel="0" collapsed="false">
      <c r="A15" s="23" t="n">
        <v>8</v>
      </c>
      <c r="B15" s="26" t="s">
        <v>58</v>
      </c>
      <c r="C15" s="14"/>
      <c r="D15" s="33" t="str">
        <f aca="false">IF($C15="","",$C15+1)</f>
        <v/>
      </c>
      <c r="E15" s="33" t="str">
        <f aca="false">IF($C15="","",$C15+7)</f>
        <v/>
      </c>
      <c r="F15" s="33" t="str">
        <f aca="false">IF($C15="","",$C15+30)</f>
        <v/>
      </c>
      <c r="G15" s="24" t="str">
        <f aca="true">IF($C15="","",IF(TODAY()&lt;=$C15+1,$C15+1,IF(TODAY()&lt;=$C15+7,$C15+7,IF(TODAY()&lt;=$C15+30,$C15+30,"✓ Completado"))))</f>
        <v/>
      </c>
      <c r="H15" s="25" t="str">
        <f aca="true">IF($C15="","",IF(ISNUMBER($G15),IF($G15&lt;=TODAY(),"⚠ HOY",IF($G15&lt;=TODAY()+2,"Pronto","")),""))</f>
        <v/>
      </c>
      <c r="I15" s="25"/>
      <c r="J15" s="26"/>
    </row>
    <row r="16" customFormat="false" ht="15" hidden="false" customHeight="false" outlineLevel="0" collapsed="false">
      <c r="A16" s="18" t="n">
        <v>9</v>
      </c>
      <c r="B16" s="21" t="s">
        <v>59</v>
      </c>
      <c r="C16" s="14"/>
      <c r="D16" s="31" t="str">
        <f aca="false">IF($C16="","",$C16+1)</f>
        <v/>
      </c>
      <c r="E16" s="31" t="str">
        <f aca="false">IF($C16="","",$C16+7)</f>
        <v/>
      </c>
      <c r="F16" s="31" t="str">
        <f aca="false">IF($C16="","",$C16+30)</f>
        <v/>
      </c>
      <c r="G16" s="19" t="str">
        <f aca="true">IF($C16="","",IF(TODAY()&lt;=$C16+1,$C16+1,IF(TODAY()&lt;=$C16+7,$C16+7,IF(TODAY()&lt;=$C16+30,$C16+30,"✓ Completado"))))</f>
        <v/>
      </c>
      <c r="H16" s="20" t="str">
        <f aca="true">IF($C16="","",IF(ISNUMBER($G16),IF($G16&lt;=TODAY(),"⚠ HOY",IF($G16&lt;=TODAY()+2,"Pronto","")),""))</f>
        <v/>
      </c>
      <c r="I16" s="32"/>
      <c r="J16" s="21"/>
    </row>
    <row r="17" customFormat="false" ht="15" hidden="false" customHeight="false" outlineLevel="0" collapsed="false">
      <c r="A17" s="23" t="n">
        <v>10</v>
      </c>
      <c r="B17" s="26" t="s">
        <v>60</v>
      </c>
      <c r="C17" s="14"/>
      <c r="D17" s="33" t="str">
        <f aca="false">IF($C17="","",$C17+1)</f>
        <v/>
      </c>
      <c r="E17" s="33" t="str">
        <f aca="false">IF($C17="","",$C17+7)</f>
        <v/>
      </c>
      <c r="F17" s="33" t="str">
        <f aca="false">IF($C17="","",$C17+30)</f>
        <v/>
      </c>
      <c r="G17" s="24" t="str">
        <f aca="true">IF($C17="","",IF(TODAY()&lt;=$C17+1,$C17+1,IF(TODAY()&lt;=$C17+7,$C17+7,IF(TODAY()&lt;=$C17+30,$C17+30,"✓ Completado"))))</f>
        <v/>
      </c>
      <c r="H17" s="25" t="str">
        <f aca="true">IF($C17="","",IF(ISNUMBER($G17),IF($G17&lt;=TODAY(),"⚠ HOY",IF($G17&lt;=TODAY()+2,"Pronto","")),""))</f>
        <v/>
      </c>
      <c r="I17" s="25"/>
      <c r="J17" s="26"/>
    </row>
    <row r="18" customFormat="false" ht="15" hidden="false" customHeight="false" outlineLevel="0" collapsed="false">
      <c r="A18" s="18" t="n">
        <v>11</v>
      </c>
      <c r="B18" s="21" t="s">
        <v>61</v>
      </c>
      <c r="C18" s="14"/>
      <c r="D18" s="31" t="str">
        <f aca="false">IF($C18="","",$C18+1)</f>
        <v/>
      </c>
      <c r="E18" s="31" t="str">
        <f aca="false">IF($C18="","",$C18+7)</f>
        <v/>
      </c>
      <c r="F18" s="31" t="str">
        <f aca="false">IF($C18="","",$C18+30)</f>
        <v/>
      </c>
      <c r="G18" s="19" t="str">
        <f aca="true">IF($C18="","",IF(TODAY()&lt;=$C18+1,$C18+1,IF(TODAY()&lt;=$C18+7,$C18+7,IF(TODAY()&lt;=$C18+30,$C18+30,"✓ Completado"))))</f>
        <v/>
      </c>
      <c r="H18" s="20" t="str">
        <f aca="true">IF($C18="","",IF(ISNUMBER($G18),IF($G18&lt;=TODAY(),"⚠ HOY",IF($G18&lt;=TODAY()+2,"Pronto","")),""))</f>
        <v/>
      </c>
      <c r="I18" s="32"/>
      <c r="J18" s="21"/>
    </row>
    <row r="19" customFormat="false" ht="15" hidden="false" customHeight="false" outlineLevel="0" collapsed="false">
      <c r="A19" s="23" t="n">
        <v>12</v>
      </c>
      <c r="B19" s="26" t="s">
        <v>62</v>
      </c>
      <c r="C19" s="14"/>
      <c r="D19" s="33" t="str">
        <f aca="false">IF($C19="","",$C19+1)</f>
        <v/>
      </c>
      <c r="E19" s="33" t="str">
        <f aca="false">IF($C19="","",$C19+7)</f>
        <v/>
      </c>
      <c r="F19" s="33" t="str">
        <f aca="false">IF($C19="","",$C19+30)</f>
        <v/>
      </c>
      <c r="G19" s="24" t="str">
        <f aca="true">IF($C19="","",IF(TODAY()&lt;=$C19+1,$C19+1,IF(TODAY()&lt;=$C19+7,$C19+7,IF(TODAY()&lt;=$C19+30,$C19+30,"✓ Completado"))))</f>
        <v/>
      </c>
      <c r="H19" s="25" t="str">
        <f aca="true">IF($C19="","",IF(ISNUMBER($G19),IF($G19&lt;=TODAY(),"⚠ HOY",IF($G19&lt;=TODAY()+2,"Pronto","")),""))</f>
        <v/>
      </c>
      <c r="I19" s="25"/>
      <c r="J19" s="26"/>
    </row>
    <row r="20" customFormat="false" ht="15" hidden="false" customHeight="false" outlineLevel="0" collapsed="false">
      <c r="A20" s="18" t="n">
        <v>13</v>
      </c>
      <c r="B20" s="21" t="s">
        <v>63</v>
      </c>
      <c r="C20" s="14"/>
      <c r="D20" s="31" t="str">
        <f aca="false">IF($C20="","",$C20+1)</f>
        <v/>
      </c>
      <c r="E20" s="31" t="str">
        <f aca="false">IF($C20="","",$C20+7)</f>
        <v/>
      </c>
      <c r="F20" s="31" t="str">
        <f aca="false">IF($C20="","",$C20+30)</f>
        <v/>
      </c>
      <c r="G20" s="19" t="str">
        <f aca="true">IF($C20="","",IF(TODAY()&lt;=$C20+1,$C20+1,IF(TODAY()&lt;=$C20+7,$C20+7,IF(TODAY()&lt;=$C20+30,$C20+30,"✓ Completado"))))</f>
        <v/>
      </c>
      <c r="H20" s="20" t="str">
        <f aca="true">IF($C20="","",IF(ISNUMBER($G20),IF($G20&lt;=TODAY(),"⚠ HOY",IF($G20&lt;=TODAY()+2,"Pronto","")),""))</f>
        <v/>
      </c>
      <c r="I20" s="32"/>
      <c r="J20" s="21"/>
    </row>
    <row r="21" customFormat="false" ht="15" hidden="false" customHeight="false" outlineLevel="0" collapsed="false">
      <c r="A21" s="23" t="n">
        <v>14</v>
      </c>
      <c r="B21" s="26" t="s">
        <v>64</v>
      </c>
      <c r="C21" s="14"/>
      <c r="D21" s="33" t="str">
        <f aca="false">IF($C21="","",$C21+1)</f>
        <v/>
      </c>
      <c r="E21" s="33" t="str">
        <f aca="false">IF($C21="","",$C21+7)</f>
        <v/>
      </c>
      <c r="F21" s="33" t="str">
        <f aca="false">IF($C21="","",$C21+30)</f>
        <v/>
      </c>
      <c r="G21" s="24" t="str">
        <f aca="true">IF($C21="","",IF(TODAY()&lt;=$C21+1,$C21+1,IF(TODAY()&lt;=$C21+7,$C21+7,IF(TODAY()&lt;=$C21+30,$C21+30,"✓ Completado"))))</f>
        <v/>
      </c>
      <c r="H21" s="25" t="str">
        <f aca="true">IF($C21="","",IF(ISNUMBER($G21),IF($G21&lt;=TODAY(),"⚠ HOY",IF($G21&lt;=TODAY()+2,"Pronto","")),""))</f>
        <v/>
      </c>
      <c r="I21" s="25"/>
      <c r="J21" s="26"/>
    </row>
    <row r="22" customFormat="false" ht="15" hidden="false" customHeight="false" outlineLevel="0" collapsed="false">
      <c r="A22" s="18" t="n">
        <v>15</v>
      </c>
      <c r="B22" s="21" t="s">
        <v>65</v>
      </c>
      <c r="C22" s="14"/>
      <c r="D22" s="31" t="str">
        <f aca="false">IF($C22="","",$C22+1)</f>
        <v/>
      </c>
      <c r="E22" s="31" t="str">
        <f aca="false">IF($C22="","",$C22+7)</f>
        <v/>
      </c>
      <c r="F22" s="31" t="str">
        <f aca="false">IF($C22="","",$C22+30)</f>
        <v/>
      </c>
      <c r="G22" s="19" t="str">
        <f aca="true">IF($C22="","",IF(TODAY()&lt;=$C22+1,$C22+1,IF(TODAY()&lt;=$C22+7,$C22+7,IF(TODAY()&lt;=$C22+30,$C22+30,"✓ Completado"))))</f>
        <v/>
      </c>
      <c r="H22" s="20" t="str">
        <f aca="true">IF($C22="","",IF(ISNUMBER($G22),IF($G22&lt;=TODAY(),"⚠ HOY",IF($G22&lt;=TODAY()+2,"Pronto","")),""))</f>
        <v/>
      </c>
      <c r="I22" s="32"/>
      <c r="J22" s="21"/>
    </row>
    <row r="23" customFormat="false" ht="15" hidden="false" customHeight="false" outlineLevel="0" collapsed="false">
      <c r="A23" s="23" t="n">
        <v>16</v>
      </c>
      <c r="B23" s="26" t="s">
        <v>66</v>
      </c>
      <c r="C23" s="14"/>
      <c r="D23" s="33" t="str">
        <f aca="false">IF($C23="","",$C23+1)</f>
        <v/>
      </c>
      <c r="E23" s="33" t="str">
        <f aca="false">IF($C23="","",$C23+7)</f>
        <v/>
      </c>
      <c r="F23" s="33" t="str">
        <f aca="false">IF($C23="","",$C23+30)</f>
        <v/>
      </c>
      <c r="G23" s="24" t="str">
        <f aca="true">IF($C23="","",IF(TODAY()&lt;=$C23+1,$C23+1,IF(TODAY()&lt;=$C23+7,$C23+7,IF(TODAY()&lt;=$C23+30,$C23+30,"✓ Completado"))))</f>
        <v/>
      </c>
      <c r="H23" s="25" t="str">
        <f aca="true">IF($C23="","",IF(ISNUMBER($G23),IF($G23&lt;=TODAY(),"⚠ HOY",IF($G23&lt;=TODAY()+2,"Pronto","")),""))</f>
        <v/>
      </c>
      <c r="I23" s="25"/>
      <c r="J23" s="26"/>
    </row>
    <row r="24" customFormat="false" ht="15" hidden="false" customHeight="false" outlineLevel="0" collapsed="false">
      <c r="A24" s="18" t="n">
        <v>17</v>
      </c>
      <c r="B24" s="21" t="s">
        <v>67</v>
      </c>
      <c r="C24" s="14"/>
      <c r="D24" s="31" t="str">
        <f aca="false">IF($C24="","",$C24+1)</f>
        <v/>
      </c>
      <c r="E24" s="31" t="str">
        <f aca="false">IF($C24="","",$C24+7)</f>
        <v/>
      </c>
      <c r="F24" s="31" t="str">
        <f aca="false">IF($C24="","",$C24+30)</f>
        <v/>
      </c>
      <c r="G24" s="19" t="str">
        <f aca="true">IF($C24="","",IF(TODAY()&lt;=$C24+1,$C24+1,IF(TODAY()&lt;=$C24+7,$C24+7,IF(TODAY()&lt;=$C24+30,$C24+30,"✓ Completado"))))</f>
        <v/>
      </c>
      <c r="H24" s="20" t="str">
        <f aca="true">IF($C24="","",IF(ISNUMBER($G24),IF($G24&lt;=TODAY(),"⚠ HOY",IF($G24&lt;=TODAY()+2,"Pronto","")),""))</f>
        <v/>
      </c>
      <c r="I24" s="32"/>
      <c r="J24" s="21"/>
    </row>
    <row r="25" customFormat="false" ht="15" hidden="false" customHeight="false" outlineLevel="0" collapsed="false">
      <c r="A25" s="23" t="n">
        <v>18</v>
      </c>
      <c r="B25" s="26" t="s">
        <v>68</v>
      </c>
      <c r="C25" s="14"/>
      <c r="D25" s="33" t="str">
        <f aca="false">IF($C25="","",$C25+1)</f>
        <v/>
      </c>
      <c r="E25" s="33" t="str">
        <f aca="false">IF($C25="","",$C25+7)</f>
        <v/>
      </c>
      <c r="F25" s="33" t="str">
        <f aca="false">IF($C25="","",$C25+30)</f>
        <v/>
      </c>
      <c r="G25" s="24" t="str">
        <f aca="true">IF($C25="","",IF(TODAY()&lt;=$C25+1,$C25+1,IF(TODAY()&lt;=$C25+7,$C25+7,IF(TODAY()&lt;=$C25+30,$C25+30,"✓ Completado"))))</f>
        <v/>
      </c>
      <c r="H25" s="25" t="str">
        <f aca="true">IF($C25="","",IF(ISNUMBER($G25),IF($G25&lt;=TODAY(),"⚠ HOY",IF($G25&lt;=TODAY()+2,"Pronto","")),""))</f>
        <v/>
      </c>
      <c r="I25" s="25"/>
      <c r="J25" s="26"/>
    </row>
    <row r="26" customFormat="false" ht="15" hidden="false" customHeight="false" outlineLevel="0" collapsed="false">
      <c r="A26" s="18" t="n">
        <v>19</v>
      </c>
      <c r="B26" s="21" t="s">
        <v>69</v>
      </c>
      <c r="C26" s="14"/>
      <c r="D26" s="31" t="str">
        <f aca="false">IF($C26="","",$C26+1)</f>
        <v/>
      </c>
      <c r="E26" s="31" t="str">
        <f aca="false">IF($C26="","",$C26+7)</f>
        <v/>
      </c>
      <c r="F26" s="31" t="str">
        <f aca="false">IF($C26="","",$C26+30)</f>
        <v/>
      </c>
      <c r="G26" s="19" t="str">
        <f aca="true">IF($C26="","",IF(TODAY()&lt;=$C26+1,$C26+1,IF(TODAY()&lt;=$C26+7,$C26+7,IF(TODAY()&lt;=$C26+30,$C26+30,"✓ Completado"))))</f>
        <v/>
      </c>
      <c r="H26" s="20" t="str">
        <f aca="true">IF($C26="","",IF(ISNUMBER($G26),IF($G26&lt;=TODAY(),"⚠ HOY",IF($G26&lt;=TODAY()+2,"Pronto","")),""))</f>
        <v/>
      </c>
      <c r="I26" s="32"/>
      <c r="J26" s="21"/>
    </row>
    <row r="27" customFormat="false" ht="15" hidden="false" customHeight="false" outlineLevel="0" collapsed="false">
      <c r="A27" s="23" t="n">
        <v>20</v>
      </c>
      <c r="B27" s="26" t="s">
        <v>70</v>
      </c>
      <c r="C27" s="14"/>
      <c r="D27" s="33" t="str">
        <f aca="false">IF($C27="","",$C27+1)</f>
        <v/>
      </c>
      <c r="E27" s="33" t="str">
        <f aca="false">IF($C27="","",$C27+7)</f>
        <v/>
      </c>
      <c r="F27" s="33" t="str">
        <f aca="false">IF($C27="","",$C27+30)</f>
        <v/>
      </c>
      <c r="G27" s="24" t="str">
        <f aca="true">IF($C27="","",IF(TODAY()&lt;=$C27+1,$C27+1,IF(TODAY()&lt;=$C27+7,$C27+7,IF(TODAY()&lt;=$C27+30,$C27+30,"✓ Completado"))))</f>
        <v/>
      </c>
      <c r="H27" s="25" t="str">
        <f aca="true">IF($C27="","",IF(ISNUMBER($G27),IF($G27&lt;=TODAY(),"⚠ HOY",IF($G27&lt;=TODAY()+2,"Pronto","")),""))</f>
        <v/>
      </c>
      <c r="I27" s="25"/>
      <c r="J27" s="26"/>
    </row>
    <row r="28" customFormat="false" ht="15" hidden="false" customHeight="false" outlineLevel="0" collapsed="false">
      <c r="A28" s="18" t="n">
        <v>21</v>
      </c>
      <c r="B28" s="21" t="s">
        <v>71</v>
      </c>
      <c r="C28" s="14"/>
      <c r="D28" s="31" t="str">
        <f aca="false">IF($C28="","",$C28+1)</f>
        <v/>
      </c>
      <c r="E28" s="31" t="str">
        <f aca="false">IF($C28="","",$C28+7)</f>
        <v/>
      </c>
      <c r="F28" s="31" t="str">
        <f aca="false">IF($C28="","",$C28+30)</f>
        <v/>
      </c>
      <c r="G28" s="19" t="str">
        <f aca="true">IF($C28="","",IF(TODAY()&lt;=$C28+1,$C28+1,IF(TODAY()&lt;=$C28+7,$C28+7,IF(TODAY()&lt;=$C28+30,$C28+30,"✓ Completado"))))</f>
        <v/>
      </c>
      <c r="H28" s="20" t="str">
        <f aca="true">IF($C28="","",IF(ISNUMBER($G28),IF($G28&lt;=TODAY(),"⚠ HOY",IF($G28&lt;=TODAY()+2,"Pronto","")),""))</f>
        <v/>
      </c>
      <c r="I28" s="32"/>
      <c r="J28" s="21"/>
    </row>
    <row r="29" customFormat="false" ht="15" hidden="false" customHeight="false" outlineLevel="0" collapsed="false">
      <c r="A29" s="23" t="n">
        <v>22</v>
      </c>
      <c r="B29" s="26" t="s">
        <v>72</v>
      </c>
      <c r="C29" s="14"/>
      <c r="D29" s="33" t="str">
        <f aca="false">IF($C29="","",$C29+1)</f>
        <v/>
      </c>
      <c r="E29" s="33" t="str">
        <f aca="false">IF($C29="","",$C29+7)</f>
        <v/>
      </c>
      <c r="F29" s="33" t="str">
        <f aca="false">IF($C29="","",$C29+30)</f>
        <v/>
      </c>
      <c r="G29" s="24" t="str">
        <f aca="true">IF($C29="","",IF(TODAY()&lt;=$C29+1,$C29+1,IF(TODAY()&lt;=$C29+7,$C29+7,IF(TODAY()&lt;=$C29+30,$C29+30,"✓ Completado"))))</f>
        <v/>
      </c>
      <c r="H29" s="25" t="str">
        <f aca="true">IF($C29="","",IF(ISNUMBER($G29),IF($G29&lt;=TODAY(),"⚠ HOY",IF($G29&lt;=TODAY()+2,"Pronto","")),""))</f>
        <v/>
      </c>
      <c r="I29" s="25"/>
      <c r="J29" s="26"/>
    </row>
    <row r="30" customFormat="false" ht="15" hidden="false" customHeight="false" outlineLevel="0" collapsed="false">
      <c r="A30" s="18" t="n">
        <v>23</v>
      </c>
      <c r="B30" s="21" t="s">
        <v>73</v>
      </c>
      <c r="C30" s="14"/>
      <c r="D30" s="31" t="str">
        <f aca="false">IF($C30="","",$C30+1)</f>
        <v/>
      </c>
      <c r="E30" s="31" t="str">
        <f aca="false">IF($C30="","",$C30+7)</f>
        <v/>
      </c>
      <c r="F30" s="31" t="str">
        <f aca="false">IF($C30="","",$C30+30)</f>
        <v/>
      </c>
      <c r="G30" s="19" t="str">
        <f aca="true">IF($C30="","",IF(TODAY()&lt;=$C30+1,$C30+1,IF(TODAY()&lt;=$C30+7,$C30+7,IF(TODAY()&lt;=$C30+30,$C30+30,"✓ Completado"))))</f>
        <v/>
      </c>
      <c r="H30" s="20" t="str">
        <f aca="true">IF($C30="","",IF(ISNUMBER($G30),IF($G30&lt;=TODAY(),"⚠ HOY",IF($G30&lt;=TODAY()+2,"Pronto","")),""))</f>
        <v/>
      </c>
      <c r="I30" s="32"/>
      <c r="J30" s="21"/>
    </row>
    <row r="31" customFormat="false" ht="15" hidden="false" customHeight="false" outlineLevel="0" collapsed="false">
      <c r="A31" s="23" t="n">
        <v>24</v>
      </c>
      <c r="B31" s="26" t="s">
        <v>74</v>
      </c>
      <c r="C31" s="14"/>
      <c r="D31" s="33" t="str">
        <f aca="false">IF($C31="","",$C31+1)</f>
        <v/>
      </c>
      <c r="E31" s="33" t="str">
        <f aca="false">IF($C31="","",$C31+7)</f>
        <v/>
      </c>
      <c r="F31" s="33" t="str">
        <f aca="false">IF($C31="","",$C31+30)</f>
        <v/>
      </c>
      <c r="G31" s="24" t="str">
        <f aca="true">IF($C31="","",IF(TODAY()&lt;=$C31+1,$C31+1,IF(TODAY()&lt;=$C31+7,$C31+7,IF(TODAY()&lt;=$C31+30,$C31+30,"✓ Completado"))))</f>
        <v/>
      </c>
      <c r="H31" s="25" t="str">
        <f aca="true">IF($C31="","",IF(ISNUMBER($G31),IF($G31&lt;=TODAY(),"⚠ HOY",IF($G31&lt;=TODAY()+2,"Pronto","")),""))</f>
        <v/>
      </c>
      <c r="I31" s="25"/>
      <c r="J31" s="26"/>
    </row>
    <row r="32" customFormat="false" ht="15" hidden="false" customHeight="false" outlineLevel="0" collapsed="false">
      <c r="A32" s="18" t="n">
        <v>25</v>
      </c>
      <c r="B32" s="21" t="s">
        <v>75</v>
      </c>
      <c r="C32" s="14"/>
      <c r="D32" s="31" t="str">
        <f aca="false">IF($C32="","",$C32+1)</f>
        <v/>
      </c>
      <c r="E32" s="31" t="str">
        <f aca="false">IF($C32="","",$C32+7)</f>
        <v/>
      </c>
      <c r="F32" s="31" t="str">
        <f aca="false">IF($C32="","",$C32+30)</f>
        <v/>
      </c>
      <c r="G32" s="19" t="str">
        <f aca="true">IF($C32="","",IF(TODAY()&lt;=$C32+1,$C32+1,IF(TODAY()&lt;=$C32+7,$C32+7,IF(TODAY()&lt;=$C32+30,$C32+30,"✓ Completado"))))</f>
        <v/>
      </c>
      <c r="H32" s="20" t="str">
        <f aca="true">IF($C32="","",IF(ISNUMBER($G32),IF($G32&lt;=TODAY(),"⚠ HOY",IF($G32&lt;=TODAY()+2,"Pronto","")),""))</f>
        <v/>
      </c>
      <c r="I32" s="32"/>
      <c r="J32" s="21"/>
    </row>
    <row r="33" customFormat="false" ht="15" hidden="false" customHeight="false" outlineLevel="0" collapsed="false">
      <c r="A33" s="23" t="n">
        <v>26</v>
      </c>
      <c r="B33" s="26" t="s">
        <v>76</v>
      </c>
      <c r="C33" s="14"/>
      <c r="D33" s="33" t="str">
        <f aca="false">IF($C33="","",$C33+1)</f>
        <v/>
      </c>
      <c r="E33" s="33" t="str">
        <f aca="false">IF($C33="","",$C33+7)</f>
        <v/>
      </c>
      <c r="F33" s="33" t="str">
        <f aca="false">IF($C33="","",$C33+30)</f>
        <v/>
      </c>
      <c r="G33" s="24" t="str">
        <f aca="true">IF($C33="","",IF(TODAY()&lt;=$C33+1,$C33+1,IF(TODAY()&lt;=$C33+7,$C33+7,IF(TODAY()&lt;=$C33+30,$C33+30,"✓ Completado"))))</f>
        <v/>
      </c>
      <c r="H33" s="25" t="str">
        <f aca="true">IF($C33="","",IF(ISNUMBER($G33),IF($G33&lt;=TODAY(),"⚠ HOY",IF($G33&lt;=TODAY()+2,"Pronto","")),""))</f>
        <v/>
      </c>
      <c r="I33" s="25"/>
      <c r="J33" s="26"/>
    </row>
    <row r="34" customFormat="false" ht="15" hidden="false" customHeight="false" outlineLevel="0" collapsed="false">
      <c r="A34" s="18" t="n">
        <v>27</v>
      </c>
      <c r="B34" s="21" t="s">
        <v>77</v>
      </c>
      <c r="C34" s="14"/>
      <c r="D34" s="31" t="str">
        <f aca="false">IF($C34="","",$C34+1)</f>
        <v/>
      </c>
      <c r="E34" s="31" t="str">
        <f aca="false">IF($C34="","",$C34+7)</f>
        <v/>
      </c>
      <c r="F34" s="31" t="str">
        <f aca="false">IF($C34="","",$C34+30)</f>
        <v/>
      </c>
      <c r="G34" s="19" t="str">
        <f aca="true">IF($C34="","",IF(TODAY()&lt;=$C34+1,$C34+1,IF(TODAY()&lt;=$C34+7,$C34+7,IF(TODAY()&lt;=$C34+30,$C34+30,"✓ Completado"))))</f>
        <v/>
      </c>
      <c r="H34" s="20" t="str">
        <f aca="true">IF($C34="","",IF(ISNUMBER($G34),IF($G34&lt;=TODAY(),"⚠ HOY",IF($G34&lt;=TODAY()+2,"Pronto","")),""))</f>
        <v/>
      </c>
      <c r="I34" s="32"/>
      <c r="J34" s="21"/>
    </row>
    <row r="35" customFormat="false" ht="15" hidden="false" customHeight="false" outlineLevel="0" collapsed="false">
      <c r="A35" s="23" t="n">
        <v>28</v>
      </c>
      <c r="B35" s="26" t="s">
        <v>78</v>
      </c>
      <c r="C35" s="14"/>
      <c r="D35" s="33" t="str">
        <f aca="false">IF($C35="","",$C35+1)</f>
        <v/>
      </c>
      <c r="E35" s="33" t="str">
        <f aca="false">IF($C35="","",$C35+7)</f>
        <v/>
      </c>
      <c r="F35" s="33" t="str">
        <f aca="false">IF($C35="","",$C35+30)</f>
        <v/>
      </c>
      <c r="G35" s="24" t="str">
        <f aca="true">IF($C35="","",IF(TODAY()&lt;=$C35+1,$C35+1,IF(TODAY()&lt;=$C35+7,$C35+7,IF(TODAY()&lt;=$C35+30,$C35+30,"✓ Completado"))))</f>
        <v/>
      </c>
      <c r="H35" s="25" t="str">
        <f aca="true">IF($C35="","",IF(ISNUMBER($G35),IF($G35&lt;=TODAY(),"⚠ HOY",IF($G35&lt;=TODAY()+2,"Pronto","")),""))</f>
        <v/>
      </c>
      <c r="I35" s="25"/>
      <c r="J35" s="26"/>
    </row>
    <row r="36" customFormat="false" ht="15" hidden="false" customHeight="false" outlineLevel="0" collapsed="false">
      <c r="A36" s="18" t="n">
        <v>29</v>
      </c>
      <c r="B36" s="21" t="s">
        <v>79</v>
      </c>
      <c r="C36" s="14"/>
      <c r="D36" s="31" t="str">
        <f aca="false">IF($C36="","",$C36+1)</f>
        <v/>
      </c>
      <c r="E36" s="31" t="str">
        <f aca="false">IF($C36="","",$C36+7)</f>
        <v/>
      </c>
      <c r="F36" s="31" t="str">
        <f aca="false">IF($C36="","",$C36+30)</f>
        <v/>
      </c>
      <c r="G36" s="19" t="str">
        <f aca="true">IF($C36="","",IF(TODAY()&lt;=$C36+1,$C36+1,IF(TODAY()&lt;=$C36+7,$C36+7,IF(TODAY()&lt;=$C36+30,$C36+30,"✓ Completado"))))</f>
        <v/>
      </c>
      <c r="H36" s="20" t="str">
        <f aca="true">IF($C36="","",IF(ISNUMBER($G36),IF($G36&lt;=TODAY(),"⚠ HOY",IF($G36&lt;=TODAY()+2,"Pronto","")),""))</f>
        <v/>
      </c>
      <c r="I36" s="32"/>
      <c r="J36" s="21"/>
    </row>
    <row r="37" customFormat="false" ht="15" hidden="false" customHeight="false" outlineLevel="0" collapsed="false">
      <c r="A37" s="23" t="n">
        <v>30</v>
      </c>
      <c r="B37" s="26" t="s">
        <v>80</v>
      </c>
      <c r="C37" s="14"/>
      <c r="D37" s="33" t="str">
        <f aca="false">IF($C37="","",$C37+1)</f>
        <v/>
      </c>
      <c r="E37" s="33" t="str">
        <f aca="false">IF($C37="","",$C37+7)</f>
        <v/>
      </c>
      <c r="F37" s="33" t="str">
        <f aca="false">IF($C37="","",$C37+30)</f>
        <v/>
      </c>
      <c r="G37" s="24" t="str">
        <f aca="true">IF($C37="","",IF(TODAY()&lt;=$C37+1,$C37+1,IF(TODAY()&lt;=$C37+7,$C37+7,IF(TODAY()&lt;=$C37+30,$C37+30,"✓ Completado"))))</f>
        <v/>
      </c>
      <c r="H37" s="25" t="str">
        <f aca="true">IF($C37="","",IF(ISNUMBER($G37),IF($G37&lt;=TODAY(),"⚠ HOY",IF($G37&lt;=TODAY()+2,"Pronto","")),""))</f>
        <v/>
      </c>
      <c r="I37" s="25"/>
      <c r="J37" s="26"/>
    </row>
    <row r="38" customFormat="false" ht="15" hidden="false" customHeight="false" outlineLevel="0" collapsed="false">
      <c r="A38" s="18" t="n">
        <v>31</v>
      </c>
      <c r="B38" s="21" t="s">
        <v>81</v>
      </c>
      <c r="C38" s="14"/>
      <c r="D38" s="31" t="str">
        <f aca="false">IF($C38="","",$C38+1)</f>
        <v/>
      </c>
      <c r="E38" s="31" t="str">
        <f aca="false">IF($C38="","",$C38+7)</f>
        <v/>
      </c>
      <c r="F38" s="31" t="str">
        <f aca="false">IF($C38="","",$C38+30)</f>
        <v/>
      </c>
      <c r="G38" s="19" t="str">
        <f aca="true">IF($C38="","",IF(TODAY()&lt;=$C38+1,$C38+1,IF(TODAY()&lt;=$C38+7,$C38+7,IF(TODAY()&lt;=$C38+30,$C38+30,"✓ Completado"))))</f>
        <v/>
      </c>
      <c r="H38" s="20" t="str">
        <f aca="true">IF($C38="","",IF(ISNUMBER($G38),IF($G38&lt;=TODAY(),"⚠ HOY",IF($G38&lt;=TODAY()+2,"Pronto","")),""))</f>
        <v/>
      </c>
      <c r="I38" s="32"/>
      <c r="J38" s="21"/>
    </row>
    <row r="39" customFormat="false" ht="15" hidden="false" customHeight="false" outlineLevel="0" collapsed="false">
      <c r="A39" s="23" t="n">
        <v>32</v>
      </c>
      <c r="B39" s="26" t="s">
        <v>82</v>
      </c>
      <c r="C39" s="14"/>
      <c r="D39" s="33" t="str">
        <f aca="false">IF($C39="","",$C39+1)</f>
        <v/>
      </c>
      <c r="E39" s="33" t="str">
        <f aca="false">IF($C39="","",$C39+7)</f>
        <v/>
      </c>
      <c r="F39" s="33" t="str">
        <f aca="false">IF($C39="","",$C39+30)</f>
        <v/>
      </c>
      <c r="G39" s="24" t="str">
        <f aca="true">IF($C39="","",IF(TODAY()&lt;=$C39+1,$C39+1,IF(TODAY()&lt;=$C39+7,$C39+7,IF(TODAY()&lt;=$C39+30,$C39+30,"✓ Completado"))))</f>
        <v/>
      </c>
      <c r="H39" s="25" t="str">
        <f aca="true">IF($C39="","",IF(ISNUMBER($G39),IF($G39&lt;=TODAY(),"⚠ HOY",IF($G39&lt;=TODAY()+2,"Pronto","")),""))</f>
        <v/>
      </c>
      <c r="I39" s="25"/>
      <c r="J39" s="26"/>
    </row>
    <row r="40" customFormat="false" ht="15" hidden="false" customHeight="false" outlineLevel="0" collapsed="false">
      <c r="A40" s="18" t="n">
        <v>33</v>
      </c>
      <c r="B40" s="21" t="s">
        <v>83</v>
      </c>
      <c r="C40" s="14"/>
      <c r="D40" s="31" t="str">
        <f aca="false">IF($C40="","",$C40+1)</f>
        <v/>
      </c>
      <c r="E40" s="31" t="str">
        <f aca="false">IF($C40="","",$C40+7)</f>
        <v/>
      </c>
      <c r="F40" s="31" t="str">
        <f aca="false">IF($C40="","",$C40+30)</f>
        <v/>
      </c>
      <c r="G40" s="19" t="str">
        <f aca="true">IF($C40="","",IF(TODAY()&lt;=$C40+1,$C40+1,IF(TODAY()&lt;=$C40+7,$C40+7,IF(TODAY()&lt;=$C40+30,$C40+30,"✓ Completado"))))</f>
        <v/>
      </c>
      <c r="H40" s="20" t="str">
        <f aca="true">IF($C40="","",IF(ISNUMBER($G40),IF($G40&lt;=TODAY(),"⚠ HOY",IF($G40&lt;=TODAY()+2,"Pronto","")),""))</f>
        <v/>
      </c>
      <c r="I40" s="32"/>
      <c r="J40" s="21"/>
    </row>
    <row r="41" customFormat="false" ht="15" hidden="false" customHeight="false" outlineLevel="0" collapsed="false">
      <c r="A41" s="23" t="n">
        <v>34</v>
      </c>
      <c r="B41" s="26" t="s">
        <v>84</v>
      </c>
      <c r="C41" s="14"/>
      <c r="D41" s="33" t="str">
        <f aca="false">IF($C41="","",$C41+1)</f>
        <v/>
      </c>
      <c r="E41" s="33" t="str">
        <f aca="false">IF($C41="","",$C41+7)</f>
        <v/>
      </c>
      <c r="F41" s="33" t="str">
        <f aca="false">IF($C41="","",$C41+30)</f>
        <v/>
      </c>
      <c r="G41" s="24" t="str">
        <f aca="true">IF($C41="","",IF(TODAY()&lt;=$C41+1,$C41+1,IF(TODAY()&lt;=$C41+7,$C41+7,IF(TODAY()&lt;=$C41+30,$C41+30,"✓ Completado"))))</f>
        <v/>
      </c>
      <c r="H41" s="25" t="str">
        <f aca="true">IF($C41="","",IF(ISNUMBER($G41),IF($G41&lt;=TODAY(),"⚠ HOY",IF($G41&lt;=TODAY()+2,"Pronto","")),""))</f>
        <v/>
      </c>
      <c r="I41" s="25"/>
      <c r="J41" s="26"/>
    </row>
    <row r="42" customFormat="false" ht="15" hidden="false" customHeight="false" outlineLevel="0" collapsed="false">
      <c r="A42" s="18" t="n">
        <v>35</v>
      </c>
      <c r="B42" s="21" t="s">
        <v>85</v>
      </c>
      <c r="C42" s="14"/>
      <c r="D42" s="31" t="str">
        <f aca="false">IF($C42="","",$C42+1)</f>
        <v/>
      </c>
      <c r="E42" s="31" t="str">
        <f aca="false">IF($C42="","",$C42+7)</f>
        <v/>
      </c>
      <c r="F42" s="31" t="str">
        <f aca="false">IF($C42="","",$C42+30)</f>
        <v/>
      </c>
      <c r="G42" s="19" t="str">
        <f aca="true">IF($C42="","",IF(TODAY()&lt;=$C42+1,$C42+1,IF(TODAY()&lt;=$C42+7,$C42+7,IF(TODAY()&lt;=$C42+30,$C42+30,"✓ Completado"))))</f>
        <v/>
      </c>
      <c r="H42" s="20" t="str">
        <f aca="true">IF($C42="","",IF(ISNUMBER($G42),IF($G42&lt;=TODAY(),"⚠ HOY",IF($G42&lt;=TODAY()+2,"Pronto","")),""))</f>
        <v/>
      </c>
      <c r="I42" s="32"/>
      <c r="J42" s="21"/>
    </row>
    <row r="43" customFormat="false" ht="15" hidden="false" customHeight="false" outlineLevel="0" collapsed="false">
      <c r="A43" s="23" t="n">
        <v>36</v>
      </c>
      <c r="B43" s="26" t="s">
        <v>86</v>
      </c>
      <c r="C43" s="14"/>
      <c r="D43" s="33" t="str">
        <f aca="false">IF($C43="","",$C43+1)</f>
        <v/>
      </c>
      <c r="E43" s="33" t="str">
        <f aca="false">IF($C43="","",$C43+7)</f>
        <v/>
      </c>
      <c r="F43" s="33" t="str">
        <f aca="false">IF($C43="","",$C43+30)</f>
        <v/>
      </c>
      <c r="G43" s="24" t="str">
        <f aca="true">IF($C43="","",IF(TODAY()&lt;=$C43+1,$C43+1,IF(TODAY()&lt;=$C43+7,$C43+7,IF(TODAY()&lt;=$C43+30,$C43+30,"✓ Completado"))))</f>
        <v/>
      </c>
      <c r="H43" s="25" t="str">
        <f aca="true">IF($C43="","",IF(ISNUMBER($G43),IF($G43&lt;=TODAY(),"⚠ HOY",IF($G43&lt;=TODAY()+2,"Pronto","")),""))</f>
        <v/>
      </c>
      <c r="I43" s="25"/>
      <c r="J43" s="26"/>
    </row>
    <row r="44" customFormat="false" ht="15" hidden="false" customHeight="false" outlineLevel="0" collapsed="false">
      <c r="A44" s="18" t="n">
        <v>37</v>
      </c>
      <c r="B44" s="21" t="s">
        <v>87</v>
      </c>
      <c r="C44" s="14"/>
      <c r="D44" s="31" t="str">
        <f aca="false">IF($C44="","",$C44+1)</f>
        <v/>
      </c>
      <c r="E44" s="31" t="str">
        <f aca="false">IF($C44="","",$C44+7)</f>
        <v/>
      </c>
      <c r="F44" s="31" t="str">
        <f aca="false">IF($C44="","",$C44+30)</f>
        <v/>
      </c>
      <c r="G44" s="19" t="str">
        <f aca="true">IF($C44="","",IF(TODAY()&lt;=$C44+1,$C44+1,IF(TODAY()&lt;=$C44+7,$C44+7,IF(TODAY()&lt;=$C44+30,$C44+30,"✓ Completado"))))</f>
        <v/>
      </c>
      <c r="H44" s="20" t="str">
        <f aca="true">IF($C44="","",IF(ISNUMBER($G44),IF($G44&lt;=TODAY(),"⚠ HOY",IF($G44&lt;=TODAY()+2,"Pronto","")),""))</f>
        <v/>
      </c>
      <c r="I44" s="32"/>
      <c r="J44" s="21"/>
    </row>
    <row r="45" customFormat="false" ht="15" hidden="false" customHeight="false" outlineLevel="0" collapsed="false">
      <c r="A45" s="23" t="n">
        <v>38</v>
      </c>
      <c r="B45" s="26" t="s">
        <v>88</v>
      </c>
      <c r="C45" s="14"/>
      <c r="D45" s="33" t="str">
        <f aca="false">IF($C45="","",$C45+1)</f>
        <v/>
      </c>
      <c r="E45" s="33" t="str">
        <f aca="false">IF($C45="","",$C45+7)</f>
        <v/>
      </c>
      <c r="F45" s="33" t="str">
        <f aca="false">IF($C45="","",$C45+30)</f>
        <v/>
      </c>
      <c r="G45" s="24" t="str">
        <f aca="true">IF($C45="","",IF(TODAY()&lt;=$C45+1,$C45+1,IF(TODAY()&lt;=$C45+7,$C45+7,IF(TODAY()&lt;=$C45+30,$C45+30,"✓ Completado"))))</f>
        <v/>
      </c>
      <c r="H45" s="25" t="str">
        <f aca="true">IF($C45="","",IF(ISNUMBER($G45),IF($G45&lt;=TODAY(),"⚠ HOY",IF($G45&lt;=TODAY()+2,"Pronto","")),""))</f>
        <v/>
      </c>
      <c r="I45" s="25"/>
      <c r="J45" s="26"/>
    </row>
    <row r="46" customFormat="false" ht="15" hidden="false" customHeight="false" outlineLevel="0" collapsed="false">
      <c r="A46" s="18" t="n">
        <v>39</v>
      </c>
      <c r="B46" s="21" t="s">
        <v>89</v>
      </c>
      <c r="C46" s="14"/>
      <c r="D46" s="31" t="str">
        <f aca="false">IF($C46="","",$C46+1)</f>
        <v/>
      </c>
      <c r="E46" s="31" t="str">
        <f aca="false">IF($C46="","",$C46+7)</f>
        <v/>
      </c>
      <c r="F46" s="31" t="str">
        <f aca="false">IF($C46="","",$C46+30)</f>
        <v/>
      </c>
      <c r="G46" s="19" t="str">
        <f aca="true">IF($C46="","",IF(TODAY()&lt;=$C46+1,$C46+1,IF(TODAY()&lt;=$C46+7,$C46+7,IF(TODAY()&lt;=$C46+30,$C46+30,"✓ Completado"))))</f>
        <v/>
      </c>
      <c r="H46" s="20" t="str">
        <f aca="true">IF($C46="","",IF(ISNUMBER($G46),IF($G46&lt;=TODAY(),"⚠ HOY",IF($G46&lt;=TODAY()+2,"Pronto","")),""))</f>
        <v/>
      </c>
      <c r="I46" s="32"/>
      <c r="J46" s="21"/>
    </row>
    <row r="47" customFormat="false" ht="15" hidden="false" customHeight="false" outlineLevel="0" collapsed="false">
      <c r="A47" s="23" t="n">
        <v>40</v>
      </c>
      <c r="B47" s="26" t="s">
        <v>90</v>
      </c>
      <c r="C47" s="14"/>
      <c r="D47" s="33" t="str">
        <f aca="false">IF($C47="","",$C47+1)</f>
        <v/>
      </c>
      <c r="E47" s="33" t="str">
        <f aca="false">IF($C47="","",$C47+7)</f>
        <v/>
      </c>
      <c r="F47" s="33" t="str">
        <f aca="false">IF($C47="","",$C47+30)</f>
        <v/>
      </c>
      <c r="G47" s="24" t="str">
        <f aca="true">IF($C47="","",IF(TODAY()&lt;=$C47+1,$C47+1,IF(TODAY()&lt;=$C47+7,$C47+7,IF(TODAY()&lt;=$C47+30,$C47+30,"✓ Completado"))))</f>
        <v/>
      </c>
      <c r="H47" s="25" t="str">
        <f aca="true">IF($C47="","",IF(ISNUMBER($G47),IF($G47&lt;=TODAY(),"⚠ HOY",IF($G47&lt;=TODAY()+2,"Pronto","")),""))</f>
        <v/>
      </c>
      <c r="I47" s="25"/>
      <c r="J47" s="26"/>
    </row>
  </sheetData>
  <mergeCells count="2">
    <mergeCell ref="A1:J1"/>
    <mergeCell ref="A2:J2"/>
  </mergeCells>
  <conditionalFormatting sqref="H8:H47">
    <cfRule type="expression" priority="2" aboveAverage="0" equalAverage="0" bottom="0" percent="0" rank="0" text="" dxfId="3">
      <formula>$H8="⚠ HOY"</formula>
    </cfRule>
    <cfRule type="expression" priority="3" aboveAverage="0" equalAverage="0" bottom="0" percent="0" rank="0" text="" dxfId="4">
      <formula>$H8="Pronto"</formula>
    </cfRule>
  </conditionalFormatting>
  <dataValidations count="1">
    <dataValidation allowBlank="true" errorStyle="stop" operator="between" showDropDown="false" showErrorMessage="false" showInputMessage="false" sqref="I8:I47" type="list">
      <formula1>"Pendiente,Estudiado,Dominado"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8" min="7" style="1" width="12"/>
    <col collapsed="false" customWidth="true" hidden="false" outlineLevel="0" max="9" min="9" style="1" width="3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4" min="13" style="1" width="11"/>
    <col collapsed="false" customWidth="true" hidden="false" outlineLevel="0" max="15" min="15" style="1" width="16"/>
  </cols>
  <sheetData>
    <row r="1" customFormat="false" ht="31.5" hidden="false" customHeight="true" outlineLevel="0" collapsed="false">
      <c r="A1" s="11" t="s">
        <v>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8" hidden="false" customHeight="true" outlineLevel="0" collapsed="false">
      <c r="A2" s="12" t="s">
        <v>92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5" customFormat="false" ht="15" hidden="false" customHeight="false" outlineLevel="0" collapsed="false">
      <c r="A5" s="5" t="s">
        <v>93</v>
      </c>
      <c r="B5" s="6"/>
      <c r="C5" s="6"/>
      <c r="D5" s="6"/>
      <c r="E5" s="6"/>
      <c r="F5" s="6"/>
      <c r="G5" s="6"/>
      <c r="H5" s="6"/>
      <c r="J5" s="5" t="s">
        <v>94</v>
      </c>
      <c r="K5" s="6"/>
      <c r="L5" s="6"/>
      <c r="M5" s="6"/>
      <c r="N5" s="6"/>
      <c r="O5" s="6"/>
    </row>
    <row r="6" customFormat="false" ht="25.5" hidden="false" customHeight="true" outlineLevel="0" collapsed="false">
      <c r="A6" s="30" t="s">
        <v>95</v>
      </c>
      <c r="B6" s="30" t="s">
        <v>42</v>
      </c>
      <c r="C6" s="30" t="s">
        <v>96</v>
      </c>
      <c r="D6" s="30" t="s">
        <v>97</v>
      </c>
      <c r="E6" s="30" t="s">
        <v>98</v>
      </c>
      <c r="F6" s="30" t="s">
        <v>99</v>
      </c>
      <c r="G6" s="30" t="s">
        <v>100</v>
      </c>
      <c r="H6" s="30" t="s">
        <v>101</v>
      </c>
      <c r="J6" s="30" t="s">
        <v>42</v>
      </c>
      <c r="K6" s="30" t="s">
        <v>102</v>
      </c>
      <c r="L6" s="30" t="s">
        <v>103</v>
      </c>
      <c r="M6" s="30" t="s">
        <v>97</v>
      </c>
      <c r="N6" s="30" t="s">
        <v>104</v>
      </c>
      <c r="O6" s="30" t="s">
        <v>49</v>
      </c>
    </row>
    <row r="7" customFormat="false" ht="15" hidden="false" customHeight="false" outlineLevel="0" collapsed="false">
      <c r="A7" s="19" t="n">
        <v>46201</v>
      </c>
      <c r="B7" s="20" t="s">
        <v>51</v>
      </c>
      <c r="C7" s="16" t="n">
        <v>50</v>
      </c>
      <c r="D7" s="16" t="n">
        <v>38</v>
      </c>
      <c r="E7" s="16" t="n">
        <v>10</v>
      </c>
      <c r="F7" s="16" t="n">
        <v>2</v>
      </c>
      <c r="G7" s="34" t="n">
        <f aca="false">IF($C7="","",$D7/$C7)</f>
        <v>0.76</v>
      </c>
      <c r="H7" s="18" t="str">
        <f aca="false">IF($C7="","",IF($D7+$E7+$F7=$C7,"OK","⚠ Revisar"))</f>
        <v>OK</v>
      </c>
      <c r="J7" s="21" t="s">
        <v>51</v>
      </c>
      <c r="K7" s="16" t="n">
        <f aca="false">COUNTIF($B$7:$B$36,$J7)</f>
        <v>2</v>
      </c>
      <c r="L7" s="16" t="n">
        <f aca="false">SUMIF($B$7:$B$36,$J7,$C$7:$C$36)</f>
        <v>80</v>
      </c>
      <c r="M7" s="16" t="n">
        <f aca="false">SUMIF($B$7:$B$36,$J7,$D$7:$D$36)</f>
        <v>63</v>
      </c>
      <c r="N7" s="34" t="n">
        <f aca="false">IF($L7=0,"",$M7/$L7)</f>
        <v>0.7875</v>
      </c>
      <c r="O7" s="20" t="str">
        <f aca="false">IF($L7=0,"Sin datos",IF($N7&lt;0.6,"🔴 Punto débil",IF($N7&lt;0.75,"🟡 Mejorando","🟢 Sólido")))</f>
        <v>🟢 Sólido</v>
      </c>
    </row>
    <row r="8" customFormat="false" ht="15" hidden="false" customHeight="false" outlineLevel="0" collapsed="false">
      <c r="A8" s="24" t="n">
        <v>46200</v>
      </c>
      <c r="B8" s="25" t="s">
        <v>52</v>
      </c>
      <c r="C8" s="35" t="n">
        <v>40</v>
      </c>
      <c r="D8" s="35" t="n">
        <v>22</v>
      </c>
      <c r="E8" s="35" t="n">
        <v>16</v>
      </c>
      <c r="F8" s="35" t="n">
        <v>2</v>
      </c>
      <c r="G8" s="36" t="n">
        <f aca="false">IF($C8="","",$D8/$C8)</f>
        <v>0.55</v>
      </c>
      <c r="H8" s="23" t="str">
        <f aca="false">IF($C8="","",IF($D8+$E8+$F8=$C8,"OK","⚠ Revisar"))</f>
        <v>OK</v>
      </c>
      <c r="J8" s="26" t="s">
        <v>52</v>
      </c>
      <c r="K8" s="35" t="n">
        <f aca="false">COUNTIF($B$7:$B$36,$J8)</f>
        <v>1</v>
      </c>
      <c r="L8" s="35" t="n">
        <f aca="false">SUMIF($B$7:$B$36,$J8,$C$7:$C$36)</f>
        <v>40</v>
      </c>
      <c r="M8" s="35" t="n">
        <f aca="false">SUMIF($B$7:$B$36,$J8,$D$7:$D$36)</f>
        <v>22</v>
      </c>
      <c r="N8" s="36" t="n">
        <f aca="false">IF($L8=0,"",$M8/$L8)</f>
        <v>0.55</v>
      </c>
      <c r="O8" s="25" t="str">
        <f aca="false">IF($L8=0,"Sin datos",IF($N8&lt;0.6,"🔴 Punto débil",IF($N8&lt;0.75,"🟡 Mejorando","🟢 Sólido")))</f>
        <v>🔴 Punto débil</v>
      </c>
    </row>
    <row r="9" customFormat="false" ht="15" hidden="false" customHeight="false" outlineLevel="0" collapsed="false">
      <c r="A9" s="19" t="n">
        <v>46199</v>
      </c>
      <c r="B9" s="20" t="s">
        <v>51</v>
      </c>
      <c r="C9" s="16" t="n">
        <v>30</v>
      </c>
      <c r="D9" s="16" t="n">
        <v>25</v>
      </c>
      <c r="E9" s="16" t="n">
        <v>4</v>
      </c>
      <c r="F9" s="16" t="n">
        <v>1</v>
      </c>
      <c r="G9" s="34" t="n">
        <f aca="false">IF($C9="","",$D9/$C9)</f>
        <v>0.833333333333333</v>
      </c>
      <c r="H9" s="18" t="str">
        <f aca="false">IF($C9="","",IF($D9+$E9+$F9=$C9,"OK","⚠ Revisar"))</f>
        <v>OK</v>
      </c>
      <c r="J9" s="21" t="s">
        <v>53</v>
      </c>
      <c r="K9" s="16" t="n">
        <f aca="false">COUNTIF($B$7:$B$36,$J9)</f>
        <v>0</v>
      </c>
      <c r="L9" s="16" t="n">
        <f aca="false">SUMIF($B$7:$B$36,$J9,$C$7:$C$36)</f>
        <v>0</v>
      </c>
      <c r="M9" s="16" t="n">
        <f aca="false">SUMIF($B$7:$B$36,$J9,$D$7:$D$36)</f>
        <v>0</v>
      </c>
      <c r="N9" s="34" t="str">
        <f aca="false">IF($L9=0,"",$M9/$L9)</f>
        <v/>
      </c>
      <c r="O9" s="20" t="str">
        <f aca="false">IF($L9=0,"Sin datos",IF($N9&lt;0.6,"🔴 Punto débil",IF($N9&lt;0.75,"🟡 Mejorando","🟢 Sólido")))</f>
        <v>Sin datos</v>
      </c>
    </row>
    <row r="10" customFormat="false" ht="15" hidden="false" customHeight="false" outlineLevel="0" collapsed="false">
      <c r="A10" s="14"/>
      <c r="B10" s="37"/>
      <c r="C10" s="15"/>
      <c r="D10" s="15"/>
      <c r="E10" s="15"/>
      <c r="F10" s="15"/>
      <c r="G10" s="36" t="str">
        <f aca="false">IF($C10="","",$D10/$C10)</f>
        <v/>
      </c>
      <c r="H10" s="23" t="str">
        <f aca="false">IF($C10="","",IF($D10+$E10+$F10=$C10,"OK","⚠ Revisar"))</f>
        <v/>
      </c>
      <c r="J10" s="26" t="s">
        <v>54</v>
      </c>
      <c r="K10" s="35" t="n">
        <f aca="false">COUNTIF($B$7:$B$36,$J10)</f>
        <v>0</v>
      </c>
      <c r="L10" s="35" t="n">
        <f aca="false">SUMIF($B$7:$B$36,$J10,$C$7:$C$36)</f>
        <v>0</v>
      </c>
      <c r="M10" s="35" t="n">
        <f aca="false">SUMIF($B$7:$B$36,$J10,$D$7:$D$36)</f>
        <v>0</v>
      </c>
      <c r="N10" s="36" t="str">
        <f aca="false">IF($L10=0,"",$M10/$L10)</f>
        <v/>
      </c>
      <c r="O10" s="25" t="str">
        <f aca="false">IF($L10=0,"Sin datos",IF($N10&lt;0.6,"🔴 Punto débil",IF($N10&lt;0.75,"🟡 Mejorando","🟢 Sólido")))</f>
        <v>Sin datos</v>
      </c>
    </row>
    <row r="11" customFormat="false" ht="15" hidden="false" customHeight="false" outlineLevel="0" collapsed="false">
      <c r="A11" s="14"/>
      <c r="B11" s="37"/>
      <c r="C11" s="15"/>
      <c r="D11" s="15"/>
      <c r="E11" s="15"/>
      <c r="F11" s="15"/>
      <c r="G11" s="34" t="str">
        <f aca="false">IF($C11="","",$D11/$C11)</f>
        <v/>
      </c>
      <c r="H11" s="18" t="str">
        <f aca="false">IF($C11="","",IF($D11+$E11+$F11=$C11,"OK","⚠ Revisar"))</f>
        <v/>
      </c>
      <c r="J11" s="21" t="s">
        <v>55</v>
      </c>
      <c r="K11" s="16" t="n">
        <f aca="false">COUNTIF($B$7:$B$36,$J11)</f>
        <v>0</v>
      </c>
      <c r="L11" s="16" t="n">
        <f aca="false">SUMIF($B$7:$B$36,$J11,$C$7:$C$36)</f>
        <v>0</v>
      </c>
      <c r="M11" s="16" t="n">
        <f aca="false">SUMIF($B$7:$B$36,$J11,$D$7:$D$36)</f>
        <v>0</v>
      </c>
      <c r="N11" s="34" t="str">
        <f aca="false">IF($L11=0,"",$M11/$L11)</f>
        <v/>
      </c>
      <c r="O11" s="20" t="str">
        <f aca="false">IF($L11=0,"Sin datos",IF($N11&lt;0.6,"🔴 Punto débil",IF($N11&lt;0.75,"🟡 Mejorando","🟢 Sólido")))</f>
        <v>Sin datos</v>
      </c>
    </row>
    <row r="12" customFormat="false" ht="15" hidden="false" customHeight="false" outlineLevel="0" collapsed="false">
      <c r="A12" s="14"/>
      <c r="B12" s="37"/>
      <c r="C12" s="15"/>
      <c r="D12" s="15"/>
      <c r="E12" s="15"/>
      <c r="F12" s="15"/>
      <c r="G12" s="36" t="str">
        <f aca="false">IF($C12="","",$D12/$C12)</f>
        <v/>
      </c>
      <c r="H12" s="23" t="str">
        <f aca="false">IF($C12="","",IF($D12+$E12+$F12=$C12,"OK","⚠ Revisar"))</f>
        <v/>
      </c>
      <c r="J12" s="26" t="s">
        <v>56</v>
      </c>
      <c r="K12" s="35" t="n">
        <f aca="false">COUNTIF($B$7:$B$36,$J12)</f>
        <v>0</v>
      </c>
      <c r="L12" s="35" t="n">
        <f aca="false">SUMIF($B$7:$B$36,$J12,$C$7:$C$36)</f>
        <v>0</v>
      </c>
      <c r="M12" s="35" t="n">
        <f aca="false">SUMIF($B$7:$B$36,$J12,$D$7:$D$36)</f>
        <v>0</v>
      </c>
      <c r="N12" s="36" t="str">
        <f aca="false">IF($L12=0,"",$M12/$L12)</f>
        <v/>
      </c>
      <c r="O12" s="25" t="str">
        <f aca="false">IF($L12=0,"Sin datos",IF($N12&lt;0.6,"🔴 Punto débil",IF($N12&lt;0.75,"🟡 Mejorando","🟢 Sólido")))</f>
        <v>Sin datos</v>
      </c>
    </row>
    <row r="13" customFormat="false" ht="15" hidden="false" customHeight="false" outlineLevel="0" collapsed="false">
      <c r="A13" s="14"/>
      <c r="B13" s="37"/>
      <c r="C13" s="15"/>
      <c r="D13" s="15"/>
      <c r="E13" s="15"/>
      <c r="F13" s="15"/>
      <c r="G13" s="34" t="str">
        <f aca="false">IF($C13="","",$D13/$C13)</f>
        <v/>
      </c>
      <c r="H13" s="18" t="str">
        <f aca="false">IF($C13="","",IF($D13+$E13+$F13=$C13,"OK","⚠ Revisar"))</f>
        <v/>
      </c>
      <c r="J13" s="21" t="s">
        <v>57</v>
      </c>
      <c r="K13" s="16" t="n">
        <f aca="false">COUNTIF($B$7:$B$36,$J13)</f>
        <v>0</v>
      </c>
      <c r="L13" s="16" t="n">
        <f aca="false">SUMIF($B$7:$B$36,$J13,$C$7:$C$36)</f>
        <v>0</v>
      </c>
      <c r="M13" s="16" t="n">
        <f aca="false">SUMIF($B$7:$B$36,$J13,$D$7:$D$36)</f>
        <v>0</v>
      </c>
      <c r="N13" s="34" t="str">
        <f aca="false">IF($L13=0,"",$M13/$L13)</f>
        <v/>
      </c>
      <c r="O13" s="20" t="str">
        <f aca="false">IF($L13=0,"Sin datos",IF($N13&lt;0.6,"🔴 Punto débil",IF($N13&lt;0.75,"🟡 Mejorando","🟢 Sólido")))</f>
        <v>Sin datos</v>
      </c>
    </row>
    <row r="14" customFormat="false" ht="15" hidden="false" customHeight="false" outlineLevel="0" collapsed="false">
      <c r="A14" s="14"/>
      <c r="B14" s="37"/>
      <c r="C14" s="15"/>
      <c r="D14" s="15"/>
      <c r="E14" s="15"/>
      <c r="F14" s="15"/>
      <c r="G14" s="36" t="str">
        <f aca="false">IF($C14="","",$D14/$C14)</f>
        <v/>
      </c>
      <c r="H14" s="23" t="str">
        <f aca="false">IF($C14="","",IF($D14+$E14+$F14=$C14,"OK","⚠ Revisar"))</f>
        <v/>
      </c>
      <c r="J14" s="26" t="s">
        <v>58</v>
      </c>
      <c r="K14" s="35" t="n">
        <f aca="false">COUNTIF($B$7:$B$36,$J14)</f>
        <v>0</v>
      </c>
      <c r="L14" s="35" t="n">
        <f aca="false">SUMIF($B$7:$B$36,$J14,$C$7:$C$36)</f>
        <v>0</v>
      </c>
      <c r="M14" s="35" t="n">
        <f aca="false">SUMIF($B$7:$B$36,$J14,$D$7:$D$36)</f>
        <v>0</v>
      </c>
      <c r="N14" s="36" t="str">
        <f aca="false">IF($L14=0,"",$M14/$L14)</f>
        <v/>
      </c>
      <c r="O14" s="25" t="str">
        <f aca="false">IF($L14=0,"Sin datos",IF($N14&lt;0.6,"🔴 Punto débil",IF($N14&lt;0.75,"🟡 Mejorando","🟢 Sólido")))</f>
        <v>Sin datos</v>
      </c>
    </row>
    <row r="15" customFormat="false" ht="15" hidden="false" customHeight="false" outlineLevel="0" collapsed="false">
      <c r="A15" s="14"/>
      <c r="B15" s="37"/>
      <c r="C15" s="15"/>
      <c r="D15" s="15"/>
      <c r="E15" s="15"/>
      <c r="F15" s="15"/>
      <c r="G15" s="34" t="str">
        <f aca="false">IF($C15="","",$D15/$C15)</f>
        <v/>
      </c>
      <c r="H15" s="18" t="str">
        <f aca="false">IF($C15="","",IF($D15+$E15+$F15=$C15,"OK","⚠ Revisar"))</f>
        <v/>
      </c>
      <c r="J15" s="21" t="s">
        <v>59</v>
      </c>
      <c r="K15" s="16" t="n">
        <f aca="false">COUNTIF($B$7:$B$36,$J15)</f>
        <v>0</v>
      </c>
      <c r="L15" s="16" t="n">
        <f aca="false">SUMIF($B$7:$B$36,$J15,$C$7:$C$36)</f>
        <v>0</v>
      </c>
      <c r="M15" s="16" t="n">
        <f aca="false">SUMIF($B$7:$B$36,$J15,$D$7:$D$36)</f>
        <v>0</v>
      </c>
      <c r="N15" s="34" t="str">
        <f aca="false">IF($L15=0,"",$M15/$L15)</f>
        <v/>
      </c>
      <c r="O15" s="20" t="str">
        <f aca="false">IF($L15=0,"Sin datos",IF($N15&lt;0.6,"🔴 Punto débil",IF($N15&lt;0.75,"🟡 Mejorando","🟢 Sólido")))</f>
        <v>Sin datos</v>
      </c>
    </row>
    <row r="16" customFormat="false" ht="15" hidden="false" customHeight="false" outlineLevel="0" collapsed="false">
      <c r="A16" s="14"/>
      <c r="B16" s="37"/>
      <c r="C16" s="15"/>
      <c r="D16" s="15"/>
      <c r="E16" s="15"/>
      <c r="F16" s="15"/>
      <c r="G16" s="36" t="str">
        <f aca="false">IF($C16="","",$D16/$C16)</f>
        <v/>
      </c>
      <c r="H16" s="23" t="str">
        <f aca="false">IF($C16="","",IF($D16+$E16+$F16=$C16,"OK","⚠ Revisar"))</f>
        <v/>
      </c>
      <c r="J16" s="26" t="s">
        <v>60</v>
      </c>
      <c r="K16" s="35" t="n">
        <f aca="false">COUNTIF($B$7:$B$36,$J16)</f>
        <v>0</v>
      </c>
      <c r="L16" s="35" t="n">
        <f aca="false">SUMIF($B$7:$B$36,$J16,$C$7:$C$36)</f>
        <v>0</v>
      </c>
      <c r="M16" s="35" t="n">
        <f aca="false">SUMIF($B$7:$B$36,$J16,$D$7:$D$36)</f>
        <v>0</v>
      </c>
      <c r="N16" s="36" t="str">
        <f aca="false">IF($L16=0,"",$M16/$L16)</f>
        <v/>
      </c>
      <c r="O16" s="25" t="str">
        <f aca="false">IF($L16=0,"Sin datos",IF($N16&lt;0.6,"🔴 Punto débil",IF($N16&lt;0.75,"🟡 Mejorando","🟢 Sólido")))</f>
        <v>Sin datos</v>
      </c>
    </row>
    <row r="17" customFormat="false" ht="15" hidden="false" customHeight="false" outlineLevel="0" collapsed="false">
      <c r="A17" s="14"/>
      <c r="B17" s="37"/>
      <c r="C17" s="15"/>
      <c r="D17" s="15"/>
      <c r="E17" s="15"/>
      <c r="F17" s="15"/>
      <c r="G17" s="34" t="str">
        <f aca="false">IF($C17="","",$D17/$C17)</f>
        <v/>
      </c>
      <c r="H17" s="18" t="str">
        <f aca="false">IF($C17="","",IF($D17+$E17+$F17=$C17,"OK","⚠ Revisar"))</f>
        <v/>
      </c>
      <c r="J17" s="21" t="s">
        <v>61</v>
      </c>
      <c r="K17" s="16" t="n">
        <f aca="false">COUNTIF($B$7:$B$36,$J17)</f>
        <v>0</v>
      </c>
      <c r="L17" s="16" t="n">
        <f aca="false">SUMIF($B$7:$B$36,$J17,$C$7:$C$36)</f>
        <v>0</v>
      </c>
      <c r="M17" s="16" t="n">
        <f aca="false">SUMIF($B$7:$B$36,$J17,$D$7:$D$36)</f>
        <v>0</v>
      </c>
      <c r="N17" s="34" t="str">
        <f aca="false">IF($L17=0,"",$M17/$L17)</f>
        <v/>
      </c>
      <c r="O17" s="20" t="str">
        <f aca="false">IF($L17=0,"Sin datos",IF($N17&lt;0.6,"🔴 Punto débil",IF($N17&lt;0.75,"🟡 Mejorando","🟢 Sólido")))</f>
        <v>Sin datos</v>
      </c>
    </row>
    <row r="18" customFormat="false" ht="15" hidden="false" customHeight="false" outlineLevel="0" collapsed="false">
      <c r="A18" s="14"/>
      <c r="B18" s="37"/>
      <c r="C18" s="15"/>
      <c r="D18" s="15"/>
      <c r="E18" s="15"/>
      <c r="F18" s="15"/>
      <c r="G18" s="36" t="str">
        <f aca="false">IF($C18="","",$D18/$C18)</f>
        <v/>
      </c>
      <c r="H18" s="23" t="str">
        <f aca="false">IF($C18="","",IF($D18+$E18+$F18=$C18,"OK","⚠ Revisar"))</f>
        <v/>
      </c>
      <c r="J18" s="26" t="s">
        <v>62</v>
      </c>
      <c r="K18" s="35" t="n">
        <f aca="false">COUNTIF($B$7:$B$36,$J18)</f>
        <v>0</v>
      </c>
      <c r="L18" s="35" t="n">
        <f aca="false">SUMIF($B$7:$B$36,$J18,$C$7:$C$36)</f>
        <v>0</v>
      </c>
      <c r="M18" s="35" t="n">
        <f aca="false">SUMIF($B$7:$B$36,$J18,$D$7:$D$36)</f>
        <v>0</v>
      </c>
      <c r="N18" s="36" t="str">
        <f aca="false">IF($L18=0,"",$M18/$L18)</f>
        <v/>
      </c>
      <c r="O18" s="25" t="str">
        <f aca="false">IF($L18=0,"Sin datos",IF($N18&lt;0.6,"🔴 Punto débil",IF($N18&lt;0.75,"🟡 Mejorando","🟢 Sólido")))</f>
        <v>Sin datos</v>
      </c>
    </row>
    <row r="19" customFormat="false" ht="15" hidden="false" customHeight="false" outlineLevel="0" collapsed="false">
      <c r="A19" s="14"/>
      <c r="B19" s="37"/>
      <c r="C19" s="15"/>
      <c r="D19" s="15"/>
      <c r="E19" s="15"/>
      <c r="F19" s="15"/>
      <c r="G19" s="34" t="str">
        <f aca="false">IF($C19="","",$D19/$C19)</f>
        <v/>
      </c>
      <c r="H19" s="18" t="str">
        <f aca="false">IF($C19="","",IF($D19+$E19+$F19=$C19,"OK","⚠ Revisar"))</f>
        <v/>
      </c>
      <c r="J19" s="21" t="s">
        <v>63</v>
      </c>
      <c r="K19" s="16" t="n">
        <f aca="false">COUNTIF($B$7:$B$36,$J19)</f>
        <v>0</v>
      </c>
      <c r="L19" s="16" t="n">
        <f aca="false">SUMIF($B$7:$B$36,$J19,$C$7:$C$36)</f>
        <v>0</v>
      </c>
      <c r="M19" s="16" t="n">
        <f aca="false">SUMIF($B$7:$B$36,$J19,$D$7:$D$36)</f>
        <v>0</v>
      </c>
      <c r="N19" s="34" t="str">
        <f aca="false">IF($L19=0,"",$M19/$L19)</f>
        <v/>
      </c>
      <c r="O19" s="20" t="str">
        <f aca="false">IF($L19=0,"Sin datos",IF($N19&lt;0.6,"🔴 Punto débil",IF($N19&lt;0.75,"🟡 Mejorando","🟢 Sólido")))</f>
        <v>Sin datos</v>
      </c>
    </row>
    <row r="20" customFormat="false" ht="15" hidden="false" customHeight="false" outlineLevel="0" collapsed="false">
      <c r="A20" s="14"/>
      <c r="B20" s="37"/>
      <c r="C20" s="15"/>
      <c r="D20" s="15"/>
      <c r="E20" s="15"/>
      <c r="F20" s="15"/>
      <c r="G20" s="36" t="str">
        <f aca="false">IF($C20="","",$D20/$C20)</f>
        <v/>
      </c>
      <c r="H20" s="23" t="str">
        <f aca="false">IF($C20="","",IF($D20+$E20+$F20=$C20,"OK","⚠ Revisar"))</f>
        <v/>
      </c>
      <c r="J20" s="26" t="s">
        <v>64</v>
      </c>
      <c r="K20" s="35" t="n">
        <f aca="false">COUNTIF($B$7:$B$36,$J20)</f>
        <v>0</v>
      </c>
      <c r="L20" s="35" t="n">
        <f aca="false">SUMIF($B$7:$B$36,$J20,$C$7:$C$36)</f>
        <v>0</v>
      </c>
      <c r="M20" s="35" t="n">
        <f aca="false">SUMIF($B$7:$B$36,$J20,$D$7:$D$36)</f>
        <v>0</v>
      </c>
      <c r="N20" s="36" t="str">
        <f aca="false">IF($L20=0,"",$M20/$L20)</f>
        <v/>
      </c>
      <c r="O20" s="25" t="str">
        <f aca="false">IF($L20=0,"Sin datos",IF($N20&lt;0.6,"🔴 Punto débil",IF($N20&lt;0.75,"🟡 Mejorando","🟢 Sólido")))</f>
        <v>Sin datos</v>
      </c>
    </row>
    <row r="21" customFormat="false" ht="15" hidden="false" customHeight="false" outlineLevel="0" collapsed="false">
      <c r="A21" s="14"/>
      <c r="B21" s="37"/>
      <c r="C21" s="15"/>
      <c r="D21" s="15"/>
      <c r="E21" s="15"/>
      <c r="F21" s="15"/>
      <c r="G21" s="34" t="str">
        <f aca="false">IF($C21="","",$D21/$C21)</f>
        <v/>
      </c>
      <c r="H21" s="18" t="str">
        <f aca="false">IF($C21="","",IF($D21+$E21+$F21=$C21,"OK","⚠ Revisar"))</f>
        <v/>
      </c>
      <c r="J21" s="21" t="s">
        <v>65</v>
      </c>
      <c r="K21" s="16" t="n">
        <f aca="false">COUNTIF($B$7:$B$36,$J21)</f>
        <v>0</v>
      </c>
      <c r="L21" s="16" t="n">
        <f aca="false">SUMIF($B$7:$B$36,$J21,$C$7:$C$36)</f>
        <v>0</v>
      </c>
      <c r="M21" s="16" t="n">
        <f aca="false">SUMIF($B$7:$B$36,$J21,$D$7:$D$36)</f>
        <v>0</v>
      </c>
      <c r="N21" s="34" t="str">
        <f aca="false">IF($L21=0,"",$M21/$L21)</f>
        <v/>
      </c>
      <c r="O21" s="20" t="str">
        <f aca="false">IF($L21=0,"Sin datos",IF($N21&lt;0.6,"🔴 Punto débil",IF($N21&lt;0.75,"🟡 Mejorando","🟢 Sólido")))</f>
        <v>Sin datos</v>
      </c>
    </row>
    <row r="22" customFormat="false" ht="15" hidden="false" customHeight="false" outlineLevel="0" collapsed="false">
      <c r="A22" s="14"/>
      <c r="B22" s="37"/>
      <c r="C22" s="15"/>
      <c r="D22" s="15"/>
      <c r="E22" s="15"/>
      <c r="F22" s="15"/>
      <c r="G22" s="36" t="str">
        <f aca="false">IF($C22="","",$D22/$C22)</f>
        <v/>
      </c>
      <c r="H22" s="23" t="str">
        <f aca="false">IF($C22="","",IF($D22+$E22+$F22=$C22,"OK","⚠ Revisar"))</f>
        <v/>
      </c>
      <c r="J22" s="26" t="s">
        <v>66</v>
      </c>
      <c r="K22" s="35" t="n">
        <f aca="false">COUNTIF($B$7:$B$36,$J22)</f>
        <v>0</v>
      </c>
      <c r="L22" s="35" t="n">
        <f aca="false">SUMIF($B$7:$B$36,$J22,$C$7:$C$36)</f>
        <v>0</v>
      </c>
      <c r="M22" s="35" t="n">
        <f aca="false">SUMIF($B$7:$B$36,$J22,$D$7:$D$36)</f>
        <v>0</v>
      </c>
      <c r="N22" s="36" t="str">
        <f aca="false">IF($L22=0,"",$M22/$L22)</f>
        <v/>
      </c>
      <c r="O22" s="25" t="str">
        <f aca="false">IF($L22=0,"Sin datos",IF($N22&lt;0.6,"🔴 Punto débil",IF($N22&lt;0.75,"🟡 Mejorando","🟢 Sólido")))</f>
        <v>Sin datos</v>
      </c>
    </row>
    <row r="23" customFormat="false" ht="15" hidden="false" customHeight="false" outlineLevel="0" collapsed="false">
      <c r="A23" s="14"/>
      <c r="B23" s="37"/>
      <c r="C23" s="15"/>
      <c r="D23" s="15"/>
      <c r="E23" s="15"/>
      <c r="F23" s="15"/>
      <c r="G23" s="34" t="str">
        <f aca="false">IF($C23="","",$D23/$C23)</f>
        <v/>
      </c>
      <c r="H23" s="18" t="str">
        <f aca="false">IF($C23="","",IF($D23+$E23+$F23=$C23,"OK","⚠ Revisar"))</f>
        <v/>
      </c>
      <c r="J23" s="21" t="s">
        <v>67</v>
      </c>
      <c r="K23" s="16" t="n">
        <f aca="false">COUNTIF($B$7:$B$36,$J23)</f>
        <v>0</v>
      </c>
      <c r="L23" s="16" t="n">
        <f aca="false">SUMIF($B$7:$B$36,$J23,$C$7:$C$36)</f>
        <v>0</v>
      </c>
      <c r="M23" s="16" t="n">
        <f aca="false">SUMIF($B$7:$B$36,$J23,$D$7:$D$36)</f>
        <v>0</v>
      </c>
      <c r="N23" s="34" t="str">
        <f aca="false">IF($L23=0,"",$M23/$L23)</f>
        <v/>
      </c>
      <c r="O23" s="20" t="str">
        <f aca="false">IF($L23=0,"Sin datos",IF($N23&lt;0.6,"🔴 Punto débil",IF($N23&lt;0.75,"🟡 Mejorando","🟢 Sólido")))</f>
        <v>Sin datos</v>
      </c>
    </row>
    <row r="24" customFormat="false" ht="15" hidden="false" customHeight="false" outlineLevel="0" collapsed="false">
      <c r="A24" s="14"/>
      <c r="B24" s="37"/>
      <c r="C24" s="15"/>
      <c r="D24" s="15"/>
      <c r="E24" s="15"/>
      <c r="F24" s="15"/>
      <c r="G24" s="36" t="str">
        <f aca="false">IF($C24="","",$D24/$C24)</f>
        <v/>
      </c>
      <c r="H24" s="23" t="str">
        <f aca="false">IF($C24="","",IF($D24+$E24+$F24=$C24,"OK","⚠ Revisar"))</f>
        <v/>
      </c>
      <c r="J24" s="26" t="s">
        <v>68</v>
      </c>
      <c r="K24" s="35" t="n">
        <f aca="false">COUNTIF($B$7:$B$36,$J24)</f>
        <v>0</v>
      </c>
      <c r="L24" s="35" t="n">
        <f aca="false">SUMIF($B$7:$B$36,$J24,$C$7:$C$36)</f>
        <v>0</v>
      </c>
      <c r="M24" s="35" t="n">
        <f aca="false">SUMIF($B$7:$B$36,$J24,$D$7:$D$36)</f>
        <v>0</v>
      </c>
      <c r="N24" s="36" t="str">
        <f aca="false">IF($L24=0,"",$M24/$L24)</f>
        <v/>
      </c>
      <c r="O24" s="25" t="str">
        <f aca="false">IF($L24=0,"Sin datos",IF($N24&lt;0.6,"🔴 Punto débil",IF($N24&lt;0.75,"🟡 Mejorando","🟢 Sólido")))</f>
        <v>Sin datos</v>
      </c>
    </row>
    <row r="25" customFormat="false" ht="15" hidden="false" customHeight="false" outlineLevel="0" collapsed="false">
      <c r="A25" s="14"/>
      <c r="B25" s="37"/>
      <c r="C25" s="15"/>
      <c r="D25" s="15"/>
      <c r="E25" s="15"/>
      <c r="F25" s="15"/>
      <c r="G25" s="34" t="str">
        <f aca="false">IF($C25="","",$D25/$C25)</f>
        <v/>
      </c>
      <c r="H25" s="18" t="str">
        <f aca="false">IF($C25="","",IF($D25+$E25+$F25=$C25,"OK","⚠ Revisar"))</f>
        <v/>
      </c>
      <c r="J25" s="21" t="s">
        <v>69</v>
      </c>
      <c r="K25" s="16" t="n">
        <f aca="false">COUNTIF($B$7:$B$36,$J25)</f>
        <v>0</v>
      </c>
      <c r="L25" s="16" t="n">
        <f aca="false">SUMIF($B$7:$B$36,$J25,$C$7:$C$36)</f>
        <v>0</v>
      </c>
      <c r="M25" s="16" t="n">
        <f aca="false">SUMIF($B$7:$B$36,$J25,$D$7:$D$36)</f>
        <v>0</v>
      </c>
      <c r="N25" s="34" t="str">
        <f aca="false">IF($L25=0,"",$M25/$L25)</f>
        <v/>
      </c>
      <c r="O25" s="20" t="str">
        <f aca="false">IF($L25=0,"Sin datos",IF($N25&lt;0.6,"🔴 Punto débil",IF($N25&lt;0.75,"🟡 Mejorando","🟢 Sólido")))</f>
        <v>Sin datos</v>
      </c>
    </row>
    <row r="26" customFormat="false" ht="15" hidden="false" customHeight="false" outlineLevel="0" collapsed="false">
      <c r="A26" s="14"/>
      <c r="B26" s="37"/>
      <c r="C26" s="15"/>
      <c r="D26" s="15"/>
      <c r="E26" s="15"/>
      <c r="F26" s="15"/>
      <c r="G26" s="36" t="str">
        <f aca="false">IF($C26="","",$D26/$C26)</f>
        <v/>
      </c>
      <c r="H26" s="23" t="str">
        <f aca="false">IF($C26="","",IF($D26+$E26+$F26=$C26,"OK","⚠ Revisar"))</f>
        <v/>
      </c>
      <c r="J26" s="26" t="s">
        <v>70</v>
      </c>
      <c r="K26" s="35" t="n">
        <f aca="false">COUNTIF($B$7:$B$36,$J26)</f>
        <v>0</v>
      </c>
      <c r="L26" s="35" t="n">
        <f aca="false">SUMIF($B$7:$B$36,$J26,$C$7:$C$36)</f>
        <v>0</v>
      </c>
      <c r="M26" s="35" t="n">
        <f aca="false">SUMIF($B$7:$B$36,$J26,$D$7:$D$36)</f>
        <v>0</v>
      </c>
      <c r="N26" s="36" t="str">
        <f aca="false">IF($L26=0,"",$M26/$L26)</f>
        <v/>
      </c>
      <c r="O26" s="25" t="str">
        <f aca="false">IF($L26=0,"Sin datos",IF($N26&lt;0.6,"🔴 Punto débil",IF($N26&lt;0.75,"🟡 Mejorando","🟢 Sólido")))</f>
        <v>Sin datos</v>
      </c>
    </row>
    <row r="27" customFormat="false" ht="15" hidden="false" customHeight="false" outlineLevel="0" collapsed="false">
      <c r="A27" s="14"/>
      <c r="B27" s="37"/>
      <c r="C27" s="15"/>
      <c r="D27" s="15"/>
      <c r="E27" s="15"/>
      <c r="F27" s="15"/>
      <c r="G27" s="34" t="str">
        <f aca="false">IF($C27="","",$D27/$C27)</f>
        <v/>
      </c>
      <c r="H27" s="18" t="str">
        <f aca="false">IF($C27="","",IF($D27+$E27+$F27=$C27,"OK","⚠ Revisar"))</f>
        <v/>
      </c>
      <c r="J27" s="21" t="s">
        <v>71</v>
      </c>
      <c r="K27" s="16" t="n">
        <f aca="false">COUNTIF($B$7:$B$36,$J27)</f>
        <v>0</v>
      </c>
      <c r="L27" s="16" t="n">
        <f aca="false">SUMIF($B$7:$B$36,$J27,$C$7:$C$36)</f>
        <v>0</v>
      </c>
      <c r="M27" s="16" t="n">
        <f aca="false">SUMIF($B$7:$B$36,$J27,$D$7:$D$36)</f>
        <v>0</v>
      </c>
      <c r="N27" s="34" t="str">
        <f aca="false">IF($L27=0,"",$M27/$L27)</f>
        <v/>
      </c>
      <c r="O27" s="20" t="str">
        <f aca="false">IF($L27=0,"Sin datos",IF($N27&lt;0.6,"🔴 Punto débil",IF($N27&lt;0.75,"🟡 Mejorando","🟢 Sólido")))</f>
        <v>Sin datos</v>
      </c>
    </row>
    <row r="28" customFormat="false" ht="15" hidden="false" customHeight="false" outlineLevel="0" collapsed="false">
      <c r="A28" s="14"/>
      <c r="B28" s="37"/>
      <c r="C28" s="15"/>
      <c r="D28" s="15"/>
      <c r="E28" s="15"/>
      <c r="F28" s="15"/>
      <c r="G28" s="36" t="str">
        <f aca="false">IF($C28="","",$D28/$C28)</f>
        <v/>
      </c>
      <c r="H28" s="23" t="str">
        <f aca="false">IF($C28="","",IF($D28+$E28+$F28=$C28,"OK","⚠ Revisar"))</f>
        <v/>
      </c>
      <c r="J28" s="26" t="s">
        <v>72</v>
      </c>
      <c r="K28" s="35" t="n">
        <f aca="false">COUNTIF($B$7:$B$36,$J28)</f>
        <v>0</v>
      </c>
      <c r="L28" s="35" t="n">
        <f aca="false">SUMIF($B$7:$B$36,$J28,$C$7:$C$36)</f>
        <v>0</v>
      </c>
      <c r="M28" s="35" t="n">
        <f aca="false">SUMIF($B$7:$B$36,$J28,$D$7:$D$36)</f>
        <v>0</v>
      </c>
      <c r="N28" s="36" t="str">
        <f aca="false">IF($L28=0,"",$M28/$L28)</f>
        <v/>
      </c>
      <c r="O28" s="25" t="str">
        <f aca="false">IF($L28=0,"Sin datos",IF($N28&lt;0.6,"🔴 Punto débil",IF($N28&lt;0.75,"🟡 Mejorando","🟢 Sólido")))</f>
        <v>Sin datos</v>
      </c>
    </row>
    <row r="29" customFormat="false" ht="15" hidden="false" customHeight="false" outlineLevel="0" collapsed="false">
      <c r="A29" s="14"/>
      <c r="B29" s="37"/>
      <c r="C29" s="15"/>
      <c r="D29" s="15"/>
      <c r="E29" s="15"/>
      <c r="F29" s="15"/>
      <c r="G29" s="34" t="str">
        <f aca="false">IF($C29="","",$D29/$C29)</f>
        <v/>
      </c>
      <c r="H29" s="18" t="str">
        <f aca="false">IF($C29="","",IF($D29+$E29+$F29=$C29,"OK","⚠ Revisar"))</f>
        <v/>
      </c>
      <c r="J29" s="21" t="s">
        <v>73</v>
      </c>
      <c r="K29" s="16" t="n">
        <f aca="false">COUNTIF($B$7:$B$36,$J29)</f>
        <v>0</v>
      </c>
      <c r="L29" s="16" t="n">
        <f aca="false">SUMIF($B$7:$B$36,$J29,$C$7:$C$36)</f>
        <v>0</v>
      </c>
      <c r="M29" s="16" t="n">
        <f aca="false">SUMIF($B$7:$B$36,$J29,$D$7:$D$36)</f>
        <v>0</v>
      </c>
      <c r="N29" s="34" t="str">
        <f aca="false">IF($L29=0,"",$M29/$L29)</f>
        <v/>
      </c>
      <c r="O29" s="20" t="str">
        <f aca="false">IF($L29=0,"Sin datos",IF($N29&lt;0.6,"🔴 Punto débil",IF($N29&lt;0.75,"🟡 Mejorando","🟢 Sólido")))</f>
        <v>Sin datos</v>
      </c>
    </row>
    <row r="30" customFormat="false" ht="15" hidden="false" customHeight="false" outlineLevel="0" collapsed="false">
      <c r="A30" s="14"/>
      <c r="B30" s="37"/>
      <c r="C30" s="15"/>
      <c r="D30" s="15"/>
      <c r="E30" s="15"/>
      <c r="F30" s="15"/>
      <c r="G30" s="36" t="str">
        <f aca="false">IF($C30="","",$D30/$C30)</f>
        <v/>
      </c>
      <c r="H30" s="23" t="str">
        <f aca="false">IF($C30="","",IF($D30+$E30+$F30=$C30,"OK","⚠ Revisar"))</f>
        <v/>
      </c>
      <c r="J30" s="26" t="s">
        <v>74</v>
      </c>
      <c r="K30" s="35" t="n">
        <f aca="false">COUNTIF($B$7:$B$36,$J30)</f>
        <v>0</v>
      </c>
      <c r="L30" s="35" t="n">
        <f aca="false">SUMIF($B$7:$B$36,$J30,$C$7:$C$36)</f>
        <v>0</v>
      </c>
      <c r="M30" s="35" t="n">
        <f aca="false">SUMIF($B$7:$B$36,$J30,$D$7:$D$36)</f>
        <v>0</v>
      </c>
      <c r="N30" s="36" t="str">
        <f aca="false">IF($L30=0,"",$M30/$L30)</f>
        <v/>
      </c>
      <c r="O30" s="25" t="str">
        <f aca="false">IF($L30=0,"Sin datos",IF($N30&lt;0.6,"🔴 Punto débil",IF($N30&lt;0.75,"🟡 Mejorando","🟢 Sólido")))</f>
        <v>Sin datos</v>
      </c>
    </row>
    <row r="31" customFormat="false" ht="15" hidden="false" customHeight="false" outlineLevel="0" collapsed="false">
      <c r="A31" s="14"/>
      <c r="B31" s="37"/>
      <c r="C31" s="15"/>
      <c r="D31" s="15"/>
      <c r="E31" s="15"/>
      <c r="F31" s="15"/>
      <c r="G31" s="34" t="str">
        <f aca="false">IF($C31="","",$D31/$C31)</f>
        <v/>
      </c>
      <c r="H31" s="18" t="str">
        <f aca="false">IF($C31="","",IF($D31+$E31+$F31=$C31,"OK","⚠ Revisar"))</f>
        <v/>
      </c>
      <c r="J31" s="21" t="s">
        <v>75</v>
      </c>
      <c r="K31" s="16" t="n">
        <f aca="false">COUNTIF($B$7:$B$36,$J31)</f>
        <v>0</v>
      </c>
      <c r="L31" s="16" t="n">
        <f aca="false">SUMIF($B$7:$B$36,$J31,$C$7:$C$36)</f>
        <v>0</v>
      </c>
      <c r="M31" s="16" t="n">
        <f aca="false">SUMIF($B$7:$B$36,$J31,$D$7:$D$36)</f>
        <v>0</v>
      </c>
      <c r="N31" s="34" t="str">
        <f aca="false">IF($L31=0,"",$M31/$L31)</f>
        <v/>
      </c>
      <c r="O31" s="20" t="str">
        <f aca="false">IF($L31=0,"Sin datos",IF($N31&lt;0.6,"🔴 Punto débil",IF($N31&lt;0.75,"🟡 Mejorando","🟢 Sólido")))</f>
        <v>Sin datos</v>
      </c>
    </row>
    <row r="32" customFormat="false" ht="15" hidden="false" customHeight="false" outlineLevel="0" collapsed="false">
      <c r="A32" s="14"/>
      <c r="B32" s="37"/>
      <c r="C32" s="15"/>
      <c r="D32" s="15"/>
      <c r="E32" s="15"/>
      <c r="F32" s="15"/>
      <c r="G32" s="36" t="str">
        <f aca="false">IF($C32="","",$D32/$C32)</f>
        <v/>
      </c>
      <c r="H32" s="23" t="str">
        <f aca="false">IF($C32="","",IF($D32+$E32+$F32=$C32,"OK","⚠ Revisar"))</f>
        <v/>
      </c>
      <c r="J32" s="26" t="s">
        <v>76</v>
      </c>
      <c r="K32" s="35" t="n">
        <f aca="false">COUNTIF($B$7:$B$36,$J32)</f>
        <v>0</v>
      </c>
      <c r="L32" s="35" t="n">
        <f aca="false">SUMIF($B$7:$B$36,$J32,$C$7:$C$36)</f>
        <v>0</v>
      </c>
      <c r="M32" s="35" t="n">
        <f aca="false">SUMIF($B$7:$B$36,$J32,$D$7:$D$36)</f>
        <v>0</v>
      </c>
      <c r="N32" s="36" t="str">
        <f aca="false">IF($L32=0,"",$M32/$L32)</f>
        <v/>
      </c>
      <c r="O32" s="25" t="str">
        <f aca="false">IF($L32=0,"Sin datos",IF($N32&lt;0.6,"🔴 Punto débil",IF($N32&lt;0.75,"🟡 Mejorando","🟢 Sólido")))</f>
        <v>Sin datos</v>
      </c>
    </row>
    <row r="33" customFormat="false" ht="15" hidden="false" customHeight="false" outlineLevel="0" collapsed="false">
      <c r="A33" s="14"/>
      <c r="B33" s="37"/>
      <c r="C33" s="15"/>
      <c r="D33" s="15"/>
      <c r="E33" s="15"/>
      <c r="F33" s="15"/>
      <c r="G33" s="34" t="str">
        <f aca="false">IF($C33="","",$D33/$C33)</f>
        <v/>
      </c>
      <c r="H33" s="18" t="str">
        <f aca="false">IF($C33="","",IF($D33+$E33+$F33=$C33,"OK","⚠ Revisar"))</f>
        <v/>
      </c>
      <c r="J33" s="21" t="s">
        <v>77</v>
      </c>
      <c r="K33" s="16" t="n">
        <f aca="false">COUNTIF($B$7:$B$36,$J33)</f>
        <v>0</v>
      </c>
      <c r="L33" s="16" t="n">
        <f aca="false">SUMIF($B$7:$B$36,$J33,$C$7:$C$36)</f>
        <v>0</v>
      </c>
      <c r="M33" s="16" t="n">
        <f aca="false">SUMIF($B$7:$B$36,$J33,$D$7:$D$36)</f>
        <v>0</v>
      </c>
      <c r="N33" s="34" t="str">
        <f aca="false">IF($L33=0,"",$M33/$L33)</f>
        <v/>
      </c>
      <c r="O33" s="20" t="str">
        <f aca="false">IF($L33=0,"Sin datos",IF($N33&lt;0.6,"🔴 Punto débil",IF($N33&lt;0.75,"🟡 Mejorando","🟢 Sólido")))</f>
        <v>Sin datos</v>
      </c>
    </row>
    <row r="34" customFormat="false" ht="15" hidden="false" customHeight="false" outlineLevel="0" collapsed="false">
      <c r="A34" s="14"/>
      <c r="B34" s="37"/>
      <c r="C34" s="15"/>
      <c r="D34" s="15"/>
      <c r="E34" s="15"/>
      <c r="F34" s="15"/>
      <c r="G34" s="36" t="str">
        <f aca="false">IF($C34="","",$D34/$C34)</f>
        <v/>
      </c>
      <c r="H34" s="23" t="str">
        <f aca="false">IF($C34="","",IF($D34+$E34+$F34=$C34,"OK","⚠ Revisar"))</f>
        <v/>
      </c>
      <c r="J34" s="26" t="s">
        <v>78</v>
      </c>
      <c r="K34" s="35" t="n">
        <f aca="false">COUNTIF($B$7:$B$36,$J34)</f>
        <v>0</v>
      </c>
      <c r="L34" s="35" t="n">
        <f aca="false">SUMIF($B$7:$B$36,$J34,$C$7:$C$36)</f>
        <v>0</v>
      </c>
      <c r="M34" s="35" t="n">
        <f aca="false">SUMIF($B$7:$B$36,$J34,$D$7:$D$36)</f>
        <v>0</v>
      </c>
      <c r="N34" s="36" t="str">
        <f aca="false">IF($L34=0,"",$M34/$L34)</f>
        <v/>
      </c>
      <c r="O34" s="25" t="str">
        <f aca="false">IF($L34=0,"Sin datos",IF($N34&lt;0.6,"🔴 Punto débil",IF($N34&lt;0.75,"🟡 Mejorando","🟢 Sólido")))</f>
        <v>Sin datos</v>
      </c>
    </row>
    <row r="35" customFormat="false" ht="15" hidden="false" customHeight="false" outlineLevel="0" collapsed="false">
      <c r="A35" s="14"/>
      <c r="B35" s="37"/>
      <c r="C35" s="15"/>
      <c r="D35" s="15"/>
      <c r="E35" s="15"/>
      <c r="F35" s="15"/>
      <c r="G35" s="34" t="str">
        <f aca="false">IF($C35="","",$D35/$C35)</f>
        <v/>
      </c>
      <c r="H35" s="18" t="str">
        <f aca="false">IF($C35="","",IF($D35+$E35+$F35=$C35,"OK","⚠ Revisar"))</f>
        <v/>
      </c>
      <c r="J35" s="21" t="s">
        <v>79</v>
      </c>
      <c r="K35" s="16" t="n">
        <f aca="false">COUNTIF($B$7:$B$36,$J35)</f>
        <v>0</v>
      </c>
      <c r="L35" s="16" t="n">
        <f aca="false">SUMIF($B$7:$B$36,$J35,$C$7:$C$36)</f>
        <v>0</v>
      </c>
      <c r="M35" s="16" t="n">
        <f aca="false">SUMIF($B$7:$B$36,$J35,$D$7:$D$36)</f>
        <v>0</v>
      </c>
      <c r="N35" s="34" t="str">
        <f aca="false">IF($L35=0,"",$M35/$L35)</f>
        <v/>
      </c>
      <c r="O35" s="20" t="str">
        <f aca="false">IF($L35=0,"Sin datos",IF($N35&lt;0.6,"🔴 Punto débil",IF($N35&lt;0.75,"🟡 Mejorando","🟢 Sólido")))</f>
        <v>Sin datos</v>
      </c>
    </row>
    <row r="36" customFormat="false" ht="15" hidden="false" customHeight="false" outlineLevel="0" collapsed="false">
      <c r="A36" s="14"/>
      <c r="B36" s="37"/>
      <c r="C36" s="15"/>
      <c r="D36" s="15"/>
      <c r="E36" s="15"/>
      <c r="F36" s="15"/>
      <c r="G36" s="36" t="str">
        <f aca="false">IF($C36="","",$D36/$C36)</f>
        <v/>
      </c>
      <c r="H36" s="23" t="str">
        <f aca="false">IF($C36="","",IF($D36+$E36+$F36=$C36,"OK","⚠ Revisar"))</f>
        <v/>
      </c>
      <c r="J36" s="26" t="s">
        <v>80</v>
      </c>
      <c r="K36" s="35" t="n">
        <f aca="false">COUNTIF($B$7:$B$36,$J36)</f>
        <v>0</v>
      </c>
      <c r="L36" s="35" t="n">
        <f aca="false">SUMIF($B$7:$B$36,$J36,$C$7:$C$36)</f>
        <v>0</v>
      </c>
      <c r="M36" s="35" t="n">
        <f aca="false">SUMIF($B$7:$B$36,$J36,$D$7:$D$36)</f>
        <v>0</v>
      </c>
      <c r="N36" s="36" t="str">
        <f aca="false">IF($L36=0,"",$M36/$L36)</f>
        <v/>
      </c>
      <c r="O36" s="25" t="str">
        <f aca="false">IF($L36=0,"Sin datos",IF($N36&lt;0.6,"🔴 Punto débil",IF($N36&lt;0.75,"🟡 Mejorando","🟢 Sólido")))</f>
        <v>Sin datos</v>
      </c>
    </row>
    <row r="37" customFormat="false" ht="15" hidden="false" customHeight="false" outlineLevel="0" collapsed="false">
      <c r="J37" s="21" t="s">
        <v>81</v>
      </c>
      <c r="K37" s="16" t="n">
        <f aca="false">COUNTIF($B$7:$B$36,$J37)</f>
        <v>0</v>
      </c>
      <c r="L37" s="16" t="n">
        <f aca="false">SUMIF($B$7:$B$36,$J37,$C$7:$C$36)</f>
        <v>0</v>
      </c>
      <c r="M37" s="16" t="n">
        <f aca="false">SUMIF($B$7:$B$36,$J37,$D$7:$D$36)</f>
        <v>0</v>
      </c>
      <c r="N37" s="34" t="str">
        <f aca="false">IF($L37=0,"",$M37/$L37)</f>
        <v/>
      </c>
      <c r="O37" s="20" t="str">
        <f aca="false">IF($L37=0,"Sin datos",IF($N37&lt;0.6,"🔴 Punto débil",IF($N37&lt;0.75,"🟡 Mejorando","🟢 Sólido")))</f>
        <v>Sin datos</v>
      </c>
    </row>
    <row r="38" customFormat="false" ht="15" hidden="false" customHeight="false" outlineLevel="0" collapsed="false">
      <c r="A38" s="38" t="s">
        <v>105</v>
      </c>
      <c r="B38" s="38"/>
      <c r="C38" s="39" t="n">
        <f aca="false">IF(SUM(C7:C36)=0,"",SUM(D7:D36)/SUM(C7:C36))</f>
        <v>0.708333333333333</v>
      </c>
      <c r="J38" s="26" t="s">
        <v>82</v>
      </c>
      <c r="K38" s="35" t="n">
        <f aca="false">COUNTIF($B$7:$B$36,$J38)</f>
        <v>0</v>
      </c>
      <c r="L38" s="35" t="n">
        <f aca="false">SUMIF($B$7:$B$36,$J38,$C$7:$C$36)</f>
        <v>0</v>
      </c>
      <c r="M38" s="35" t="n">
        <f aca="false">SUMIF($B$7:$B$36,$J38,$D$7:$D$36)</f>
        <v>0</v>
      </c>
      <c r="N38" s="36" t="str">
        <f aca="false">IF($L38=0,"",$M38/$L38)</f>
        <v/>
      </c>
      <c r="O38" s="25" t="str">
        <f aca="false">IF($L38=0,"Sin datos",IF($N38&lt;0.6,"🔴 Punto débil",IF($N38&lt;0.75,"🟡 Mejorando","🟢 Sólido")))</f>
        <v>Sin datos</v>
      </c>
    </row>
    <row r="39" customFormat="false" ht="15" hidden="false" customHeight="false" outlineLevel="0" collapsed="false">
      <c r="J39" s="21" t="s">
        <v>83</v>
      </c>
      <c r="K39" s="16" t="n">
        <f aca="false">COUNTIF($B$7:$B$36,$J39)</f>
        <v>0</v>
      </c>
      <c r="L39" s="16" t="n">
        <f aca="false">SUMIF($B$7:$B$36,$J39,$C$7:$C$36)</f>
        <v>0</v>
      </c>
      <c r="M39" s="16" t="n">
        <f aca="false">SUMIF($B$7:$B$36,$J39,$D$7:$D$36)</f>
        <v>0</v>
      </c>
      <c r="N39" s="34" t="str">
        <f aca="false">IF($L39=0,"",$M39/$L39)</f>
        <v/>
      </c>
      <c r="O39" s="20" t="str">
        <f aca="false">IF($L39=0,"Sin datos",IF($N39&lt;0.6,"🔴 Punto débil",IF($N39&lt;0.75,"🟡 Mejorando","🟢 Sólido")))</f>
        <v>Sin datos</v>
      </c>
    </row>
    <row r="40" customFormat="false" ht="15" hidden="false" customHeight="false" outlineLevel="0" collapsed="false">
      <c r="J40" s="26" t="s">
        <v>84</v>
      </c>
      <c r="K40" s="35" t="n">
        <f aca="false">COUNTIF($B$7:$B$36,$J40)</f>
        <v>0</v>
      </c>
      <c r="L40" s="35" t="n">
        <f aca="false">SUMIF($B$7:$B$36,$J40,$C$7:$C$36)</f>
        <v>0</v>
      </c>
      <c r="M40" s="35" t="n">
        <f aca="false">SUMIF($B$7:$B$36,$J40,$D$7:$D$36)</f>
        <v>0</v>
      </c>
      <c r="N40" s="36" t="str">
        <f aca="false">IF($L40=0,"",$M40/$L40)</f>
        <v/>
      </c>
      <c r="O40" s="25" t="str">
        <f aca="false">IF($L40=0,"Sin datos",IF($N40&lt;0.6,"🔴 Punto débil",IF($N40&lt;0.75,"🟡 Mejorando","🟢 Sólido")))</f>
        <v>Sin datos</v>
      </c>
    </row>
    <row r="41" customFormat="false" ht="15" hidden="false" customHeight="false" outlineLevel="0" collapsed="false">
      <c r="J41" s="21" t="s">
        <v>85</v>
      </c>
      <c r="K41" s="16" t="n">
        <f aca="false">COUNTIF($B$7:$B$36,$J41)</f>
        <v>0</v>
      </c>
      <c r="L41" s="16" t="n">
        <f aca="false">SUMIF($B$7:$B$36,$J41,$C$7:$C$36)</f>
        <v>0</v>
      </c>
      <c r="M41" s="16" t="n">
        <f aca="false">SUMIF($B$7:$B$36,$J41,$D$7:$D$36)</f>
        <v>0</v>
      </c>
      <c r="N41" s="34" t="str">
        <f aca="false">IF($L41=0,"",$M41/$L41)</f>
        <v/>
      </c>
      <c r="O41" s="20" t="str">
        <f aca="false">IF($L41=0,"Sin datos",IF($N41&lt;0.6,"🔴 Punto débil",IF($N41&lt;0.75,"🟡 Mejorando","🟢 Sólido")))</f>
        <v>Sin datos</v>
      </c>
    </row>
    <row r="42" customFormat="false" ht="15" hidden="false" customHeight="false" outlineLevel="0" collapsed="false">
      <c r="J42" s="26" t="s">
        <v>86</v>
      </c>
      <c r="K42" s="35" t="n">
        <f aca="false">COUNTIF($B$7:$B$36,$J42)</f>
        <v>0</v>
      </c>
      <c r="L42" s="35" t="n">
        <f aca="false">SUMIF($B$7:$B$36,$J42,$C$7:$C$36)</f>
        <v>0</v>
      </c>
      <c r="M42" s="35" t="n">
        <f aca="false">SUMIF($B$7:$B$36,$J42,$D$7:$D$36)</f>
        <v>0</v>
      </c>
      <c r="N42" s="36" t="str">
        <f aca="false">IF($L42=0,"",$M42/$L42)</f>
        <v/>
      </c>
      <c r="O42" s="25" t="str">
        <f aca="false">IF($L42=0,"Sin datos",IF($N42&lt;0.6,"🔴 Punto débil",IF($N42&lt;0.75,"🟡 Mejorando","🟢 Sólido")))</f>
        <v>Sin datos</v>
      </c>
    </row>
    <row r="43" customFormat="false" ht="15" hidden="false" customHeight="false" outlineLevel="0" collapsed="false">
      <c r="J43" s="21" t="s">
        <v>87</v>
      </c>
      <c r="K43" s="16" t="n">
        <f aca="false">COUNTIF($B$7:$B$36,$J43)</f>
        <v>0</v>
      </c>
      <c r="L43" s="16" t="n">
        <f aca="false">SUMIF($B$7:$B$36,$J43,$C$7:$C$36)</f>
        <v>0</v>
      </c>
      <c r="M43" s="16" t="n">
        <f aca="false">SUMIF($B$7:$B$36,$J43,$D$7:$D$36)</f>
        <v>0</v>
      </c>
      <c r="N43" s="34" t="str">
        <f aca="false">IF($L43=0,"",$M43/$L43)</f>
        <v/>
      </c>
      <c r="O43" s="20" t="str">
        <f aca="false">IF($L43=0,"Sin datos",IF($N43&lt;0.6,"🔴 Punto débil",IF($N43&lt;0.75,"🟡 Mejorando","🟢 Sólido")))</f>
        <v>Sin datos</v>
      </c>
    </row>
    <row r="44" customFormat="false" ht="15" hidden="false" customHeight="false" outlineLevel="0" collapsed="false">
      <c r="J44" s="26" t="s">
        <v>88</v>
      </c>
      <c r="K44" s="35" t="n">
        <f aca="false">COUNTIF($B$7:$B$36,$J44)</f>
        <v>0</v>
      </c>
      <c r="L44" s="35" t="n">
        <f aca="false">SUMIF($B$7:$B$36,$J44,$C$7:$C$36)</f>
        <v>0</v>
      </c>
      <c r="M44" s="35" t="n">
        <f aca="false">SUMIF($B$7:$B$36,$J44,$D$7:$D$36)</f>
        <v>0</v>
      </c>
      <c r="N44" s="36" t="str">
        <f aca="false">IF($L44=0,"",$M44/$L44)</f>
        <v/>
      </c>
      <c r="O44" s="25" t="str">
        <f aca="false">IF($L44=0,"Sin datos",IF($N44&lt;0.6,"🔴 Punto débil",IF($N44&lt;0.75,"🟡 Mejorando","🟢 Sólido")))</f>
        <v>Sin datos</v>
      </c>
    </row>
    <row r="45" customFormat="false" ht="15" hidden="false" customHeight="false" outlineLevel="0" collapsed="false">
      <c r="J45" s="21" t="s">
        <v>89</v>
      </c>
      <c r="K45" s="16" t="n">
        <f aca="false">COUNTIF($B$7:$B$36,$J45)</f>
        <v>0</v>
      </c>
      <c r="L45" s="16" t="n">
        <f aca="false">SUMIF($B$7:$B$36,$J45,$C$7:$C$36)</f>
        <v>0</v>
      </c>
      <c r="M45" s="16" t="n">
        <f aca="false">SUMIF($B$7:$B$36,$J45,$D$7:$D$36)</f>
        <v>0</v>
      </c>
      <c r="N45" s="34" t="str">
        <f aca="false">IF($L45=0,"",$M45/$L45)</f>
        <v/>
      </c>
      <c r="O45" s="20" t="str">
        <f aca="false">IF($L45=0,"Sin datos",IF($N45&lt;0.6,"🔴 Punto débil",IF($N45&lt;0.75,"🟡 Mejorando","🟢 Sólido")))</f>
        <v>Sin datos</v>
      </c>
    </row>
    <row r="46" customFormat="false" ht="15" hidden="false" customHeight="false" outlineLevel="0" collapsed="false">
      <c r="J46" s="26" t="s">
        <v>90</v>
      </c>
      <c r="K46" s="35" t="n">
        <f aca="false">COUNTIF($B$7:$B$36,$J46)</f>
        <v>0</v>
      </c>
      <c r="L46" s="35" t="n">
        <f aca="false">SUMIF($B$7:$B$36,$J46,$C$7:$C$36)</f>
        <v>0</v>
      </c>
      <c r="M46" s="35" t="n">
        <f aca="false">SUMIF($B$7:$B$36,$J46,$D$7:$D$36)</f>
        <v>0</v>
      </c>
      <c r="N46" s="36" t="str">
        <f aca="false">IF($L46=0,"",$M46/$L46)</f>
        <v/>
      </c>
      <c r="O46" s="25" t="str">
        <f aca="false">IF($L46=0,"Sin datos",IF($N46&lt;0.6,"🔴 Punto débil",IF($N46&lt;0.75,"🟡 Mejorando","🟢 Sólido")))</f>
        <v>Sin datos</v>
      </c>
    </row>
  </sheetData>
  <mergeCells count="3">
    <mergeCell ref="A1:O1"/>
    <mergeCell ref="A2:O2"/>
    <mergeCell ref="A38:B38"/>
  </mergeCells>
  <conditionalFormatting sqref="O7:O46">
    <cfRule type="expression" priority="2" aboveAverage="0" equalAverage="0" bottom="0" percent="0" rank="0" text="" dxfId="3">
      <formula>$N7&lt;0.6</formula>
    </cfRule>
    <cfRule type="expression" priority="3" aboveAverage="0" equalAverage="0" bottom="0" percent="0" rank="0" text="" dxfId="4">
      <formula>AND($N7&gt;=0.6,$N7&lt;0.75)</formula>
    </cfRule>
    <cfRule type="expression" priority="4" aboveAverage="0" equalAverage="0" bottom="0" percent="0" rank="0" text="" dxfId="5">
      <formula>$N7&gt;=0.75</formula>
    </cfRule>
  </conditionalFormatting>
  <dataValidations count="1">
    <dataValidation allowBlank="true" errorStyle="stop" operator="between" showDropDown="false" showErrorMessage="false" showInputMessage="false" sqref="B7:B36" type="list">
      <formula1>$J$7:$J$46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2026-06-29T18:10:37Z</dcterms:created>
  <dc:creator>openpyxl</dc:creator>
  <dc:description/>
  <dc:language>en-US</dc:language>
  <cp:lastModifiedBy/>
  <dcterms:modified xsi:type="dcterms:W3CDTF">2026-06-29T18:10:37Z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